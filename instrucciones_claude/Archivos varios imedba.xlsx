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\Downloads\"/>
    </mc:Choice>
  </mc:AlternateContent>
  <xr:revisionPtr revIDLastSave="0" documentId="13_ncr:1_{BE8150F2-9D57-4215-9514-01DC51B9CBBC}" xr6:coauthVersionLast="47" xr6:coauthVersionMax="47" xr10:uidLastSave="{00000000-0000-0000-0000-000000000000}"/>
  <bookViews>
    <workbookView xWindow="-120" yWindow="-120" windowWidth="20730" windowHeight="11040" firstSheet="6" activeTab="9" xr2:uid="{FA8FC403-D35C-4B3A-B766-FE292CF8DF4D}"/>
  </bookViews>
  <sheets>
    <sheet name="Presupuesto" sheetId="1" r:id="rId1"/>
    <sheet name="caja efctivo " sheetId="5" r:id="rId2"/>
    <sheet name="Plantilla de pagos" sheetId="2" r:id="rId3"/>
    <sheet name="Editorial" sheetId="6" r:id="rId4"/>
    <sheet name="Horas docente" sheetId="3" r:id="rId5"/>
    <sheet name="hoja de deudores y mails alumno" sheetId="4" r:id="rId6"/>
    <sheet name="excel datos alumnos" sheetId="7" r:id="rId7"/>
    <sheet name="ventas" sheetId="9" r:id="rId8"/>
    <sheet name="precio de lista" sheetId="8" r:id="rId9"/>
    <sheet name="liquidacion formacion superio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0" l="1"/>
  <c r="D15" i="10" s="1"/>
  <c r="G8" i="10"/>
  <c r="D19" i="10"/>
  <c r="D18" i="10"/>
  <c r="D17" i="10"/>
  <c r="D16" i="10"/>
  <c r="C41" i="2"/>
  <c r="C42" i="2"/>
  <c r="C43" i="2"/>
  <c r="C44" i="2"/>
  <c r="C45" i="2"/>
  <c r="C46" i="2"/>
  <c r="C47" i="2"/>
  <c r="C48" i="2"/>
  <c r="C40" i="2"/>
</calcChain>
</file>

<file path=xl/sharedStrings.xml><?xml version="1.0" encoding="utf-8"?>
<sst xmlns="http://schemas.openxmlformats.org/spreadsheetml/2006/main" count="1779" uniqueCount="631">
  <si>
    <t>Proyección inc salarial</t>
  </si>
  <si>
    <t>socios y docentes - alquiler</t>
  </si>
  <si>
    <t>asistentes</t>
  </si>
  <si>
    <t>socios - evaluar bono</t>
  </si>
  <si>
    <t>empleados - proovedores</t>
  </si>
  <si>
    <t>autoria</t>
  </si>
  <si>
    <t>docentes (rra) y pago tutorias</t>
  </si>
  <si>
    <t xml:space="preserve">aguinaldo </t>
  </si>
  <si>
    <t>coordinacion y pago tutorias</t>
  </si>
  <si>
    <t>socios/bonos</t>
  </si>
  <si>
    <t>proovedores</t>
  </si>
  <si>
    <t>aguinaldo</t>
  </si>
  <si>
    <t>Unidad de negocio</t>
  </si>
  <si>
    <t>TOTAL PROY</t>
  </si>
  <si>
    <t>TOTAL REAL</t>
  </si>
  <si>
    <t>Enero Proy</t>
  </si>
  <si>
    <t>Enero Real</t>
  </si>
  <si>
    <t>Febrero Proy</t>
  </si>
  <si>
    <t>Febrero Real</t>
  </si>
  <si>
    <t>Marzo Proy</t>
  </si>
  <si>
    <t>Marzo Real</t>
  </si>
  <si>
    <t>Abril Proy</t>
  </si>
  <si>
    <t>Abril Real</t>
  </si>
  <si>
    <t>Mayo Proy</t>
  </si>
  <si>
    <t>Mayo real</t>
  </si>
  <si>
    <t>Junio Proy</t>
  </si>
  <si>
    <t>Junio Real</t>
  </si>
  <si>
    <t>Julio Proy</t>
  </si>
  <si>
    <t>Julio Real</t>
  </si>
  <si>
    <t>Agosto Proy</t>
  </si>
  <si>
    <t>Agosto Real</t>
  </si>
  <si>
    <t>Sept Proy</t>
  </si>
  <si>
    <t>Sept Real</t>
  </si>
  <si>
    <t>Octubre Proy</t>
  </si>
  <si>
    <t>Octubre Real</t>
  </si>
  <si>
    <t>Nov Proy</t>
  </si>
  <si>
    <t>Nov Real</t>
  </si>
  <si>
    <t>Dic Proy</t>
  </si>
  <si>
    <t>Dic Real</t>
  </si>
  <si>
    <t>Residencias</t>
  </si>
  <si>
    <t>Matrícula Curso LIBRE</t>
  </si>
  <si>
    <t xml:space="preserve">$ -   </t>
  </si>
  <si>
    <t xml:space="preserve"> $ -   </t>
  </si>
  <si>
    <t>Ingresos Curso LIBRE</t>
  </si>
  <si>
    <t>Matrícula Curso VIVO</t>
  </si>
  <si>
    <t>Ingresos Curso VIVO</t>
  </si>
  <si>
    <t>Matrícula Cordoba</t>
  </si>
  <si>
    <t>Ingresos Cordoba</t>
  </si>
  <si>
    <t>Matrícula Esencial</t>
  </si>
  <si>
    <t>Ingresos Esencial</t>
  </si>
  <si>
    <t>Matrícula URUGUAY</t>
  </si>
  <si>
    <t>Ingresos Curso URUGUAY</t>
  </si>
  <si>
    <t>Matrícula Solo choice OnLine</t>
  </si>
  <si>
    <t>Ingresos Solo choice Online</t>
  </si>
  <si>
    <t>Matrícula Solo Choice vivo</t>
  </si>
  <si>
    <t>Ingreso Solo Choice vivo</t>
  </si>
  <si>
    <t>Matricula Intensivo</t>
  </si>
  <si>
    <t>Ingresos Intensivo</t>
  </si>
  <si>
    <t>Pregrado</t>
  </si>
  <si>
    <t>Banco Audiovisual</t>
  </si>
  <si>
    <t>Revalida</t>
  </si>
  <si>
    <t>Otros Ingresos</t>
  </si>
  <si>
    <t>Total Residencias</t>
  </si>
  <si>
    <t>Editorial</t>
  </si>
  <si>
    <t>Venta de Libros RM</t>
  </si>
  <si>
    <t>Venta de libros PREMA</t>
  </si>
  <si>
    <t>Venta de libros OTROS</t>
  </si>
  <si>
    <t>Total Editorial</t>
  </si>
  <si>
    <t>Prematuros</t>
  </si>
  <si>
    <t>Matrícula</t>
  </si>
  <si>
    <t>Curso Prema</t>
  </si>
  <si>
    <t>Otros cursos</t>
  </si>
  <si>
    <t>Curso Circo</t>
  </si>
  <si>
    <t>Curso PF</t>
  </si>
  <si>
    <t>Total Formación Superior</t>
  </si>
  <si>
    <t xml:space="preserve">Otros  </t>
  </si>
  <si>
    <t>Otros</t>
  </si>
  <si>
    <t>Costos de envios</t>
  </si>
  <si>
    <t>Plazos fijos</t>
  </si>
  <si>
    <t>Correo DHL (PP)</t>
  </si>
  <si>
    <t xml:space="preserve">Total Otros  </t>
  </si>
  <si>
    <t>Ingresos por Paypal/Usd</t>
  </si>
  <si>
    <t>Total Ingresos</t>
  </si>
  <si>
    <t>Total Egresos</t>
  </si>
  <si>
    <t>Diferencia Ingresos/Egresos</t>
  </si>
  <si>
    <t>Arrastre de saldos</t>
  </si>
  <si>
    <t>Egresos por Paypal</t>
  </si>
  <si>
    <t>Alumnos x mes para ESTRUCTURA</t>
  </si>
  <si>
    <t>Alumnos Proy/Real</t>
  </si>
  <si>
    <t>Egresos</t>
  </si>
  <si>
    <t>Sueldos</t>
  </si>
  <si>
    <t>Direccion General JAQUI</t>
  </si>
  <si>
    <t>Coordinación presencial/web MELI</t>
  </si>
  <si>
    <t>Coordinación Audiovisual. GUSTAVO</t>
  </si>
  <si>
    <t>Sueldo FEDE OVIEDO</t>
  </si>
  <si>
    <t>Sueldo CAROLINA</t>
  </si>
  <si>
    <t>Sueldo PAULA ERLICH</t>
  </si>
  <si>
    <t>Total Sueldos</t>
  </si>
  <si>
    <t>Honorarios</t>
  </si>
  <si>
    <t>Esteban</t>
  </si>
  <si>
    <t>Adm contable Nico</t>
  </si>
  <si>
    <t>Asistente AV Fede Quintana</t>
  </si>
  <si>
    <t>Fourteam - David Silva</t>
  </si>
  <si>
    <t>Vendedora</t>
  </si>
  <si>
    <t>Programadores - Plataforma</t>
  </si>
  <si>
    <t>Contador</t>
  </si>
  <si>
    <t>Consultoría</t>
  </si>
  <si>
    <t>Estudios juridicos</t>
  </si>
  <si>
    <t>Total Honorarios / Prestadores</t>
  </si>
  <si>
    <t xml:space="preserve">Docentes </t>
  </si>
  <si>
    <t>Docentes Clases OL Sincrónicas</t>
  </si>
  <si>
    <t>Tutoras Uruguay</t>
  </si>
  <si>
    <t>Tutoria MARIANA</t>
  </si>
  <si>
    <t>Tutoría ANA</t>
  </si>
  <si>
    <t>Tutorías GIN/CIR/MF</t>
  </si>
  <si>
    <t>Preceptoria Julieta - Teresa</t>
  </si>
  <si>
    <t>Docentes</t>
  </si>
  <si>
    <t>Tutores Formación superior</t>
  </si>
  <si>
    <t>Formación superior Docentes prema</t>
  </si>
  <si>
    <t>Docentes Circo y PAF</t>
  </si>
  <si>
    <t>Capacitaciones</t>
  </si>
  <si>
    <t>Total Docentes</t>
  </si>
  <si>
    <t>Publicidad</t>
  </si>
  <si>
    <t>Meta - Google</t>
  </si>
  <si>
    <t>Promotores - Jorge</t>
  </si>
  <si>
    <t>Impresión gráfica mkt</t>
  </si>
  <si>
    <t>REVISTAS difusión</t>
  </si>
  <si>
    <t>Redes</t>
  </si>
  <si>
    <t>Total Publicidad</t>
  </si>
  <si>
    <t>Servicios</t>
  </si>
  <si>
    <t xml:space="preserve">Alquiler </t>
  </si>
  <si>
    <t>Expensas</t>
  </si>
  <si>
    <t>Agua</t>
  </si>
  <si>
    <t>Internet</t>
  </si>
  <si>
    <t>Celulares</t>
  </si>
  <si>
    <t>Luz</t>
  </si>
  <si>
    <t>Gas</t>
  </si>
  <si>
    <t>Total Servicios</t>
  </si>
  <si>
    <t>Costos</t>
  </si>
  <si>
    <t>Insumos fotocopiadora Toner/Resmas</t>
  </si>
  <si>
    <t>Equipamiento para filmación- compus</t>
  </si>
  <si>
    <t>Equipamiento oficina</t>
  </si>
  <si>
    <t>Libros Bibliografia Libros, apuntes</t>
  </si>
  <si>
    <t>Libros Impresión</t>
  </si>
  <si>
    <t>Libros Registro</t>
  </si>
  <si>
    <t>Libros Bolsas</t>
  </si>
  <si>
    <t>Libros Autoría</t>
  </si>
  <si>
    <t>Libros Ilustraciones</t>
  </si>
  <si>
    <t>Libros Corrección/REVISIÓN</t>
  </si>
  <si>
    <t>Libros Edición (Virginia)</t>
  </si>
  <si>
    <t>Total Costos</t>
  </si>
  <si>
    <t>Abonos</t>
  </si>
  <si>
    <t>Agora</t>
  </si>
  <si>
    <t>Adobe</t>
  </si>
  <si>
    <t>AVG antivirus</t>
  </si>
  <si>
    <t>CLaude</t>
  </si>
  <si>
    <t>Dropbox</t>
  </si>
  <si>
    <t>DNDA</t>
  </si>
  <si>
    <t>Dominios</t>
  </si>
  <si>
    <t>Envialo simple DON WEB mailing</t>
  </si>
  <si>
    <t>Calendli</t>
  </si>
  <si>
    <t>Genially</t>
  </si>
  <si>
    <t>Google</t>
  </si>
  <si>
    <t>Hosting</t>
  </si>
  <si>
    <t>Linkedin</t>
  </si>
  <si>
    <t>Microsoft/Onedrive</t>
  </si>
  <si>
    <t>Mobirise - Verifone</t>
  </si>
  <si>
    <t>NIC</t>
  </si>
  <si>
    <t>Sorteos</t>
  </si>
  <si>
    <t>Padlet</t>
  </si>
  <si>
    <t>Payway</t>
  </si>
  <si>
    <t>Publical Editorial/Libreria</t>
  </si>
  <si>
    <t>Tienda Nube</t>
  </si>
  <si>
    <t>Verisure Alarma</t>
  </si>
  <si>
    <t>Vimeo</t>
  </si>
  <si>
    <t>Zoom</t>
  </si>
  <si>
    <t>Total Abonos</t>
  </si>
  <si>
    <t>Gastos</t>
  </si>
  <si>
    <t>Service Computadora</t>
  </si>
  <si>
    <t>Service Fotocopiadora</t>
  </si>
  <si>
    <t>Mantenimiento</t>
  </si>
  <si>
    <t>Service Aire</t>
  </si>
  <si>
    <t>Gastos de oficina</t>
  </si>
  <si>
    <t>Servicio doméstico Marta</t>
  </si>
  <si>
    <t>Correo INTERNO (Cabify)</t>
  </si>
  <si>
    <t>Andreani</t>
  </si>
  <si>
    <t>Seguros - Segurcop</t>
  </si>
  <si>
    <t>Almacén</t>
  </si>
  <si>
    <t>Capacitación</t>
  </si>
  <si>
    <t>Viáticos</t>
  </si>
  <si>
    <t>Otros gastos</t>
  </si>
  <si>
    <t xml:space="preserve">Viajes </t>
  </si>
  <si>
    <t>Total Gastos</t>
  </si>
  <si>
    <t>Impuestos</t>
  </si>
  <si>
    <t>IVA</t>
  </si>
  <si>
    <t>Ingresos Brutos</t>
  </si>
  <si>
    <t>Cargas Sociales</t>
  </si>
  <si>
    <t>Sindicato</t>
  </si>
  <si>
    <t>Autónomos</t>
  </si>
  <si>
    <t>Imp a las Ganancias</t>
  </si>
  <si>
    <t>SICORE</t>
  </si>
  <si>
    <t>Impuesto país</t>
  </si>
  <si>
    <t>Moratorias - planes de pago</t>
  </si>
  <si>
    <t>ART</t>
  </si>
  <si>
    <t>Total Impuestos</t>
  </si>
  <si>
    <t>Banco</t>
  </si>
  <si>
    <t>Plazos Fijos</t>
  </si>
  <si>
    <t>Comisiones bancarias</t>
  </si>
  <si>
    <t>IIBB Bancario</t>
  </si>
  <si>
    <t>SIRCREB Bancario</t>
  </si>
  <si>
    <t>Imp Ley 25413</t>
  </si>
  <si>
    <t>Caja de seguridad</t>
  </si>
  <si>
    <t>Tienda Nube - Ret y cuota simple</t>
  </si>
  <si>
    <t>Tienda Nube - Impuestos</t>
  </si>
  <si>
    <t>Payway - Retenciones</t>
  </si>
  <si>
    <t>Payway - Impuestos</t>
  </si>
  <si>
    <t>Paypal - Prex</t>
  </si>
  <si>
    <t>Cuotas préstamos</t>
  </si>
  <si>
    <t>Total Gastos Bancarios</t>
  </si>
  <si>
    <t>PAGOS MENSUALES 2025</t>
  </si>
  <si>
    <t xml:space="preserve">BANCO </t>
  </si>
  <si>
    <t>ADELANTOS/ VACACIONES</t>
  </si>
  <si>
    <t>RETIROS SOCIOS</t>
  </si>
  <si>
    <t>efectivo</t>
  </si>
  <si>
    <t>TOTAL</t>
  </si>
  <si>
    <t>INVERSIONES SOCIOS</t>
  </si>
  <si>
    <t>EMPLEADOS</t>
  </si>
  <si>
    <t>Jaqui</t>
  </si>
  <si>
    <t>Jaqui SAC</t>
  </si>
  <si>
    <t>Gus</t>
  </si>
  <si>
    <t>Gus SAC</t>
  </si>
  <si>
    <t>Meli</t>
  </si>
  <si>
    <t>Meli SAC</t>
  </si>
  <si>
    <t>Fede</t>
  </si>
  <si>
    <t>Fede SAC</t>
  </si>
  <si>
    <t>Caro</t>
  </si>
  <si>
    <t>Caro SAC</t>
  </si>
  <si>
    <t xml:space="preserve">Paula </t>
  </si>
  <si>
    <t>Paula SAC</t>
  </si>
  <si>
    <t>SAC</t>
  </si>
  <si>
    <t>%</t>
  </si>
  <si>
    <t>SUBTOTAL</t>
  </si>
  <si>
    <t>Proveedores</t>
  </si>
  <si>
    <t>Bono - Extra</t>
  </si>
  <si>
    <t>MAIL</t>
  </si>
  <si>
    <t>FACTURA</t>
  </si>
  <si>
    <t>PAGADO</t>
  </si>
  <si>
    <t>ARCHIVADO</t>
  </si>
  <si>
    <t>Fede Quintana</t>
  </si>
  <si>
    <t>x</t>
  </si>
  <si>
    <t>X</t>
  </si>
  <si>
    <t>Nico</t>
  </si>
  <si>
    <t>Mariano</t>
  </si>
  <si>
    <t>David</t>
  </si>
  <si>
    <t>Emilia VENDEDORA</t>
  </si>
  <si>
    <t>Jorge carteles</t>
  </si>
  <si>
    <t>Tutora Uru</t>
  </si>
  <si>
    <t>TUTORAS RMA</t>
  </si>
  <si>
    <t>DOCENTES RMA</t>
  </si>
  <si>
    <t>HORAS</t>
  </si>
  <si>
    <t>MONTO TOTAL</t>
  </si>
  <si>
    <t>Paloma Bodas</t>
  </si>
  <si>
    <t>Cataldi Jaquelina</t>
  </si>
  <si>
    <t>Lavitola Mariana</t>
  </si>
  <si>
    <t>Passarelli Melina</t>
  </si>
  <si>
    <t>Porporato Melina</t>
  </si>
  <si>
    <t>Quiroga Ximena</t>
  </si>
  <si>
    <t>Trugman Fernanda</t>
  </si>
  <si>
    <t>Vans Landschoot Florencia</t>
  </si>
  <si>
    <t>Girola Pablo</t>
  </si>
  <si>
    <t>Veiga Sabrina</t>
  </si>
  <si>
    <t>Panizza Ana</t>
  </si>
  <si>
    <t>Alonso Mariela</t>
  </si>
  <si>
    <t>Ramirez Julian</t>
  </si>
  <si>
    <t>Granada Agustina</t>
  </si>
  <si>
    <t>Preceptoras</t>
  </si>
  <si>
    <t xml:space="preserve">Teresa </t>
  </si>
  <si>
    <t>Aylen</t>
  </si>
  <si>
    <t>19 hs - 8 clases</t>
  </si>
  <si>
    <t>Bianca</t>
  </si>
  <si>
    <t xml:space="preserve"> </t>
  </si>
  <si>
    <t>AUTORIA</t>
  </si>
  <si>
    <t>TUTORAS Prema</t>
  </si>
  <si>
    <t>Iris</t>
  </si>
  <si>
    <t>Norma</t>
  </si>
  <si>
    <t>INVITADOS Prema</t>
  </si>
  <si>
    <t>GASTOS FIJOS</t>
  </si>
  <si>
    <t>Fecha de pago</t>
  </si>
  <si>
    <t>VEP - Carga Bco</t>
  </si>
  <si>
    <t xml:space="preserve">Pagado </t>
  </si>
  <si>
    <t>Autonomos</t>
  </si>
  <si>
    <t>IIBB</t>
  </si>
  <si>
    <t xml:space="preserve">Cargas Sociales </t>
  </si>
  <si>
    <t>Plan Facilidades 16 del mes</t>
  </si>
  <si>
    <t>Cuota prestamo -  4 del mes</t>
  </si>
  <si>
    <t>Monto</t>
  </si>
  <si>
    <t>Carga Bco</t>
  </si>
  <si>
    <t>Pagado</t>
  </si>
  <si>
    <t>ALQUILER</t>
  </si>
  <si>
    <t>Aysa - Metrogas</t>
  </si>
  <si>
    <t>Gastos Variables</t>
  </si>
  <si>
    <t>Tarjeta</t>
  </si>
  <si>
    <t>matafuegos</t>
  </si>
  <si>
    <t>Libros cuota 2</t>
  </si>
  <si>
    <t>Subtotal</t>
  </si>
  <si>
    <t>Valor hora</t>
  </si>
  <si>
    <t>Hora Argentina</t>
  </si>
  <si>
    <t>Hora Preceptora</t>
  </si>
  <si>
    <t>RMA</t>
  </si>
  <si>
    <t>RMU</t>
  </si>
  <si>
    <t>PRECEPTORAS</t>
  </si>
  <si>
    <t>CLASES</t>
  </si>
  <si>
    <t>EVS VIVO</t>
  </si>
  <si>
    <t>EVS GRABADO</t>
  </si>
  <si>
    <t>Aperturas</t>
  </si>
  <si>
    <t>Enviado</t>
  </si>
  <si>
    <t>Factura recibida</t>
  </si>
  <si>
    <t>Curso</t>
  </si>
  <si>
    <t>DETALLE</t>
  </si>
  <si>
    <t>Nombres</t>
  </si>
  <si>
    <t>Apellidos</t>
  </si>
  <si>
    <t>Mail</t>
  </si>
  <si>
    <t>Celular</t>
  </si>
  <si>
    <t>Pago con recargo</t>
  </si>
  <si>
    <t>Cuota simple</t>
  </si>
  <si>
    <t>Recargo %</t>
  </si>
  <si>
    <t>Factura</t>
  </si>
  <si>
    <t>LOCALIDAD</t>
  </si>
  <si>
    <t>OBSERV</t>
  </si>
  <si>
    <t>grupo 2 (20-30)</t>
  </si>
  <si>
    <t>grupo 2</t>
  </si>
  <si>
    <t>PREMA</t>
  </si>
  <si>
    <t>#¡REF!</t>
  </si>
  <si>
    <t>REVALIDA</t>
  </si>
  <si>
    <t>paga a fin de mes los dos meses pendientes</t>
  </si>
  <si>
    <t>Este es el que llevamos el control de los pagos de las cuotas, mails de advertencia y recargos</t>
  </si>
  <si>
    <t>link enviado</t>
  </si>
  <si>
    <t>paga en estos dias</t>
  </si>
  <si>
    <t>Caja efetivo</t>
  </si>
  <si>
    <t xml:space="preserve">Saldo </t>
  </si>
  <si>
    <t xml:space="preserve"> $-   </t>
  </si>
  <si>
    <t xml:space="preserve">Saldo al 1/1 = </t>
  </si>
  <si>
    <t xml:space="preserve">Al 29/1 hay </t>
  </si>
  <si>
    <t>enero</t>
  </si>
  <si>
    <t>fecha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</si>
  <si>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</si>
  <si>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</si>
  <si>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</si>
  <si>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</si>
  <si>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</si>
  <si>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</si>
  <si>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</si>
  <si>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</si>
  <si>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</si>
  <si>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</si>
  <si>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</si>
  <si>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concepto</t>
  </si>
  <si>
    <t>gastado por</t>
  </si>
  <si>
    <t>entrada</t>
  </si>
  <si>
    <t>salida</t>
  </si>
  <si>
    <t>este archivo es del area contable, tenemos el contrl de los ingresos y egresos especificos en efectivo</t>
  </si>
  <si>
    <t xml:space="preserve">Valores </t>
  </si>
  <si>
    <t>Normales</t>
  </si>
  <si>
    <t>Anillados</t>
  </si>
  <si>
    <t>Total alumnos</t>
  </si>
  <si>
    <t>Total ventas</t>
  </si>
  <si>
    <t>Ingresos ventas</t>
  </si>
  <si>
    <t>Costo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</si>
  <si>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</si>
  <si>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</si>
  <si>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</si>
  <si>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</si>
  <si>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</si>
  <si>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</si>
  <si>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</si>
  <si>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</si>
  <si>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</si>
  <si>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</si>
  <si>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Precio de venta</t>
  </si>
  <si>
    <t>Jaqui - Correción y Revision</t>
  </si>
  <si>
    <t>cambio de precio</t>
  </si>
  <si>
    <t>alumnos al 50%</t>
  </si>
  <si>
    <t>alumnos al 70%</t>
  </si>
  <si>
    <t xml:space="preserve">Fede Pumar - Edicion </t>
  </si>
  <si>
    <t>Enero</t>
  </si>
  <si>
    <t>Febrero</t>
  </si>
  <si>
    <t>TOTALES</t>
  </si>
  <si>
    <t>Venta alumnos</t>
  </si>
  <si>
    <t>binder</t>
  </si>
  <si>
    <t>3ra ed</t>
  </si>
  <si>
    <t>Impuestos - Comisiones</t>
  </si>
  <si>
    <t>anillado</t>
  </si>
  <si>
    <t xml:space="preserve">Venta editorial </t>
  </si>
  <si>
    <t>Impuestos y comisiones</t>
  </si>
  <si>
    <t>Libro</t>
  </si>
  <si>
    <t>Binder</t>
  </si>
  <si>
    <t>Cantidad</t>
  </si>
  <si>
    <t>Anillado</t>
  </si>
  <si>
    <t>Valor final</t>
  </si>
  <si>
    <t>Correccion y revision Jaqui</t>
  </si>
  <si>
    <t>Edicion Fede Pumar</t>
  </si>
  <si>
    <t>Subtotal costos edición (2)</t>
  </si>
  <si>
    <t>Comisión Bancaria</t>
  </si>
  <si>
    <t>Subtotal gastos publi y admin (3)</t>
  </si>
  <si>
    <t>Total (1+2+3)</t>
  </si>
  <si>
    <t>Costo por libro</t>
  </si>
  <si>
    <t>valor actual por impacto inflacionario</t>
  </si>
  <si>
    <t>Valor Promedio x libro</t>
  </si>
  <si>
    <t>PED</t>
  </si>
  <si>
    <t>=</t>
  </si>
  <si>
    <t xml:space="preserve">$- </t>
  </si>
  <si>
    <t>CIR</t>
  </si>
  <si>
    <t xml:space="preserve"> $- </t>
  </si>
  <si>
    <t>GIN</t>
  </si>
  <si>
    <t>MI 1</t>
  </si>
  <si>
    <t>MI 2</t>
  </si>
  <si>
    <t>MF</t>
  </si>
  <si>
    <t>QX</t>
  </si>
  <si>
    <t>Total</t>
  </si>
  <si>
    <t>Libros alumnos</t>
  </si>
  <si>
    <t xml:space="preserve">Coleccion </t>
  </si>
  <si>
    <t>Costos impresion 300 libros</t>
  </si>
  <si>
    <t>Autorias 2025</t>
  </si>
  <si>
    <t>Costos de produccion</t>
  </si>
  <si>
    <t>Ing x ventas</t>
  </si>
  <si>
    <t>Costos totales</t>
  </si>
  <si>
    <t>Saldo pendiente</t>
  </si>
  <si>
    <t>Costos por colecciones (233+52)</t>
  </si>
  <si>
    <t>Venta matriculas</t>
  </si>
  <si>
    <t>Venta coleccion</t>
  </si>
  <si>
    <t>Ventas x alumnos</t>
  </si>
  <si>
    <t>este es el general de editorial</t>
  </si>
  <si>
    <t>Fecha</t>
  </si>
  <si>
    <t>Nacionalidad</t>
  </si>
  <si>
    <t>Universidad</t>
  </si>
  <si>
    <t>DNI</t>
  </si>
  <si>
    <t>Correo electrónico</t>
  </si>
  <si>
    <t>Celular (whatsapp)</t>
  </si>
  <si>
    <t>Modalidad</t>
  </si>
  <si>
    <t>COMENTARIOS</t>
  </si>
  <si>
    <t>Pago chq</t>
  </si>
  <si>
    <t>matriculados</t>
  </si>
  <si>
    <t>Libros</t>
  </si>
  <si>
    <t>CONT ENVIADO</t>
  </si>
  <si>
    <t>CONT FIRMADO</t>
  </si>
  <si>
    <t>Observaciones</t>
  </si>
  <si>
    <t>Entrevista</t>
  </si>
  <si>
    <t>Ausente plat NOV</t>
  </si>
  <si>
    <t>Ausente plat ENE</t>
  </si>
  <si>
    <t>RRA LIBRE</t>
  </si>
  <si>
    <t>VIVO P Agosto</t>
  </si>
  <si>
    <t>Tradicional</t>
  </si>
  <si>
    <t>NO</t>
  </si>
  <si>
    <t>NUNCA</t>
  </si>
  <si>
    <t>LIBRE P Agosto</t>
  </si>
  <si>
    <t>Intensivo FEB</t>
  </si>
  <si>
    <t>MIX febrero</t>
  </si>
  <si>
    <t>VIVO Super Intensivo</t>
  </si>
  <si>
    <t>este excel viene de un formulario de google donde ellos copmletan sus datos, la idea es tener esto + datos para agregar de la vendedora en cuanto a la forma de pago, cuotas y lo demas que charlamos.</t>
  </si>
  <si>
    <t>Nombre</t>
  </si>
  <si>
    <t>Apellido</t>
  </si>
  <si>
    <t>Teléfono</t>
  </si>
  <si>
    <t>Producto</t>
  </si>
  <si>
    <t>Precio de lista</t>
  </si>
  <si>
    <t>Descuento</t>
  </si>
  <si>
    <t>Precio con descuento</t>
  </si>
  <si>
    <t>Precio final</t>
  </si>
  <si>
    <t>Medio de pago</t>
  </si>
  <si>
    <t>Pamela Beatriz</t>
  </si>
  <si>
    <t>Albornoz</t>
  </si>
  <si>
    <t>pamealbornoz1409@gmail.com</t>
  </si>
  <si>
    <t>Curso Intensivo Libre TUCUMÁN 2026</t>
  </si>
  <si>
    <t>25% (Fiestas)</t>
  </si>
  <si>
    <t>2 cuotas por transferencia de $ 265.500</t>
  </si>
  <si>
    <t>-</t>
  </si>
  <si>
    <t>Joaquin</t>
  </si>
  <si>
    <t>Martinez Benzi</t>
  </si>
  <si>
    <t>joaquinmartinezbenzi@gmail.com</t>
  </si>
  <si>
    <t>Rocío Celeste</t>
  </si>
  <si>
    <t>Rueda</t>
  </si>
  <si>
    <t>ruedarocioceleste@gmail.com</t>
  </si>
  <si>
    <t>Curso Intensivo Libre 2026</t>
  </si>
  <si>
    <t>25% (black)</t>
  </si>
  <si>
    <t>3 cuotas por transferencia de $ 255.000</t>
  </si>
  <si>
    <t>Lucía</t>
  </si>
  <si>
    <t>Velando</t>
  </si>
  <si>
    <t>lulivelan@gmail.com</t>
  </si>
  <si>
    <t>Angel Lautaro</t>
  </si>
  <si>
    <t>Belegoti</t>
  </si>
  <si>
    <t>taoland2112@gmail.com</t>
  </si>
  <si>
    <t>Camila</t>
  </si>
  <si>
    <t>Tejada</t>
  </si>
  <si>
    <t>tejadacamila8@gmail.com</t>
  </si>
  <si>
    <t>Curso Córdoba Libre 2026</t>
  </si>
  <si>
    <t>3 cuotas por transferencia de $ 305.090</t>
  </si>
  <si>
    <t>Eduardo ignacio</t>
  </si>
  <si>
    <t>Nahmias</t>
  </si>
  <si>
    <t>einu@hotmail.es</t>
  </si>
  <si>
    <t>30% (black+grupo)</t>
  </si>
  <si>
    <t>3 cuotas por transferencia de $ 339.966</t>
  </si>
  <si>
    <t>Mauro Ismael</t>
  </si>
  <si>
    <t>Jacob</t>
  </si>
  <si>
    <t>jacobmauroismael@gmail.com</t>
  </si>
  <si>
    <t>Juliana</t>
  </si>
  <si>
    <t>Aguilar</t>
  </si>
  <si>
    <t>julijaf_98@hotmail.com</t>
  </si>
  <si>
    <t>Candela</t>
  </si>
  <si>
    <t>Godoy hoffmann</t>
  </si>
  <si>
    <t>cgodoyhoffmann@icloud.com</t>
  </si>
  <si>
    <t>Precio</t>
  </si>
  <si>
    <t>Curso Intensivo Libre</t>
  </si>
  <si>
    <t>Curso Intensivo Vivo</t>
  </si>
  <si>
    <t>Curso Sólo Choice Tucumán</t>
  </si>
  <si>
    <t>Curso Intensivo Tucumán</t>
  </si>
  <si>
    <t>Curso Sólo Choice Córdoba</t>
  </si>
  <si>
    <t>Curso Intensivo Córdoba</t>
  </si>
  <si>
    <t>Curso Sólo Choice Abril-Mayo</t>
  </si>
  <si>
    <t>Curso Intensivo Abril-Mayo</t>
  </si>
  <si>
    <t>Curso Solo Choice Plus Libre</t>
  </si>
  <si>
    <t>Curso Solo Choice Plus Vivo</t>
  </si>
  <si>
    <t>Curso Plus 2027 Libre</t>
  </si>
  <si>
    <t>Curso Plus 2027 Vivo</t>
  </si>
  <si>
    <t>Curso Reválida</t>
  </si>
  <si>
    <t>Fecha de examen:</t>
  </si>
  <si>
    <t>mayo-junio-julio</t>
  </si>
  <si>
    <t>Abril-Mayo</t>
  </si>
  <si>
    <t>todos los exámanes 2027</t>
  </si>
  <si>
    <t>Precio de lista solo curso</t>
  </si>
  <si>
    <t>Precio de lista curso con libros comunes</t>
  </si>
  <si>
    <t>Precio de lista curso con libros anillados</t>
  </si>
  <si>
    <t>PROMOCIONES</t>
  </si>
  <si>
    <t>10 % de descuento sobre el valor del curso en 1 pago por transferencia</t>
  </si>
  <si>
    <t>Solo curso</t>
  </si>
  <si>
    <t>Curso con libro comunes</t>
  </si>
  <si>
    <t>Curso con libros anillados</t>
  </si>
  <si>
    <t>2 cuotas sin interés por transferencia</t>
  </si>
  <si>
    <t>No aplica</t>
  </si>
  <si>
    <t>3 cuotas sin interés por transferencia</t>
  </si>
  <si>
    <t>6 cuotas sin interés por transferencia</t>
  </si>
  <si>
    <t>3ERA EDICIÓN</t>
  </si>
  <si>
    <t>TRADICIONAL</t>
  </si>
  <si>
    <t>ANILLADO</t>
  </si>
  <si>
    <t>Pediatría</t>
  </si>
  <si>
    <t>Cirugía</t>
  </si>
  <si>
    <t>Ginecología</t>
  </si>
  <si>
    <t>Medicina Interna 1</t>
  </si>
  <si>
    <t>Medicina Interna 2</t>
  </si>
  <si>
    <t>Med Fliar</t>
  </si>
  <si>
    <t>Quirúrgicas</t>
  </si>
  <si>
    <t>COLECCIÓN 2025 RM</t>
  </si>
  <si>
    <t>SIN STOCK</t>
  </si>
  <si>
    <t>COLECCIÓN 2025 RM P/ ALUMNOS (-35%)</t>
  </si>
  <si>
    <t>Niños Nacidos Prematuros</t>
  </si>
  <si>
    <t>Prescripción Fisica</t>
  </si>
  <si>
    <t>Guía Tabaco</t>
  </si>
  <si>
    <t>PRECIOS MARZO</t>
  </si>
  <si>
    <t>Exámenes de abril-mayo (Río Negro, Salta, Chubut, Chaco, Corrientes, Neuquén, Catamarca, San Juan)</t>
  </si>
  <si>
    <t>Precio de lista curso con libros tradicionales</t>
  </si>
  <si>
    <t>10% de descuento en 1 pago por transferencia</t>
  </si>
  <si>
    <t>Curso con libro tradicionales</t>
  </si>
  <si>
    <t>Curso Sólo Choice Plus Libre</t>
  </si>
  <si>
    <t>Curso Sólo Choice Plus Vivo</t>
  </si>
  <si>
    <t>junio-julio 2026</t>
  </si>
  <si>
    <t>Clases teóricas asincrónicas:</t>
  </si>
  <si>
    <t>Sí</t>
  </si>
  <si>
    <t>No</t>
  </si>
  <si>
    <t>Ejercitación choice nivel inicial:</t>
  </si>
  <si>
    <t>Con correcciones asincrónicas</t>
  </si>
  <si>
    <t>Ejercitación choice nivel avanzado:</t>
  </si>
  <si>
    <t>Con correcciones en vivo desde el 30 de marzo</t>
  </si>
  <si>
    <t>Precio de lista sólo curso</t>
  </si>
  <si>
    <t>Sólo curso</t>
  </si>
  <si>
    <t>3 cuotas sin interés</t>
  </si>
  <si>
    <t>Curso Plus Libre 2027</t>
  </si>
  <si>
    <t>Curso Plus Vivo 2027</t>
  </si>
  <si>
    <t>Todos</t>
  </si>
  <si>
    <t>a confirmar</t>
  </si>
  <si>
    <t>6 cuotas sin interés</t>
  </si>
  <si>
    <t>Formación Superior - Detalle de Cuotas</t>
  </si>
  <si>
    <t>#¡DIV/0!</t>
  </si>
  <si>
    <t>Por cobrar</t>
  </si>
  <si>
    <t>Cobrado</t>
  </si>
  <si>
    <t>Impuestos y comisiones bancarias</t>
  </si>
  <si>
    <t xml:space="preserve">Sueldo secretaria </t>
  </si>
  <si>
    <t>Adminitracion</t>
  </si>
  <si>
    <t>Tutoras - Untref</t>
  </si>
  <si>
    <t>Imedba</t>
  </si>
  <si>
    <t xml:space="preserve">Subtotal </t>
  </si>
  <si>
    <t xml:space="preserve">Subtotal Directoras </t>
  </si>
  <si>
    <t>Distribución directoras</t>
  </si>
  <si>
    <t>UNTREF 20%</t>
  </si>
  <si>
    <t>Nombre y Apellidos</t>
  </si>
  <si>
    <t>Fecha de inscripción</t>
  </si>
  <si>
    <t>Pendiente de cobro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</si>
  <si>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</si>
  <si>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</si>
  <si>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</si>
  <si>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</si>
  <si>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</si>
  <si>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</si>
  <si>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</si>
  <si>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</si>
  <si>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</si>
  <si>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</si>
  <si>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</si>
  <si>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</si>
  <si>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C9</t>
  </si>
  <si>
    <t>Espinoza Salazar</t>
  </si>
  <si>
    <t>Bustamante Cyntia</t>
  </si>
  <si>
    <t>Vargas Margarita Zoe</t>
  </si>
  <si>
    <t>Alegre Patricia Beatriz</t>
  </si>
  <si>
    <t>Quevedo Melina</t>
  </si>
  <si>
    <t>Gout Yanina</t>
  </si>
  <si>
    <t>ELENA SOLEDAD VADELA T</t>
  </si>
  <si>
    <t>MAZURIER VALERIA</t>
  </si>
  <si>
    <t>C10</t>
  </si>
  <si>
    <t>ANA LISS VERGEZ</t>
  </si>
  <si>
    <t>MARIA SILVINA CAMARDELL</t>
  </si>
  <si>
    <t>TAKATA,EUGENIA MIYUKI</t>
  </si>
  <si>
    <t>BAYARSKY, BRENDA</t>
  </si>
  <si>
    <t>TORREGO ANA CECILIA</t>
  </si>
  <si>
    <t>ROMERO GIANOTTI,MARIA</t>
  </si>
  <si>
    <t>MONTIVERO AGUSTINA</t>
  </si>
  <si>
    <t>VALDIVIA ORTEGA SADIQ ZENON</t>
  </si>
  <si>
    <t>DECENA ROCIO</t>
  </si>
  <si>
    <t xml:space="preserve">C9 </t>
  </si>
  <si>
    <t>Evelyn Godoy</t>
  </si>
  <si>
    <t>Ana Said</t>
  </si>
  <si>
    <t>Rosomery Sarmiento Rocha</t>
  </si>
  <si>
    <t>Gisela Martin</t>
  </si>
  <si>
    <t>Estrada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</si>
</sst>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4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5B9BD5"/>
      <name val="Calibri"/>
      <family val="2"/>
      <scheme val="minor"/>
    </font>
    <font>
      <sz val="11"/>
      <color rgb="FF5B9BD5"/>
      <name val="Calibri"/>
      <family val="2"/>
      <scheme val="minor"/>
    </font>
    <font>
      <sz val="11"/>
      <color rgb="FF70AD47"/>
      <name val="Calibri"/>
      <family val="2"/>
      <scheme val="minor"/>
    </font>
    <font>
      <b/>
      <sz val="11"/>
      <color rgb="FF70AD47"/>
      <name val="Calibri"/>
      <family val="2"/>
      <scheme val="minor"/>
    </font>
    <font>
      <sz val="11"/>
      <color rgb="FF000000"/>
      <name val="Consolas"/>
      <charset val="1"/>
    </font>
    <font>
      <sz val="11"/>
      <color rgb="FFFF0000"/>
      <name val="Consolas"/>
      <charset val="1"/>
    </font>
    <font>
      <b/>
      <sz val="11"/>
      <color rgb="FF00B0F0"/>
      <name val="Calibri"/>
      <scheme val="minor"/>
    </font>
    <font>
      <b/>
      <sz val="11"/>
      <color rgb="FF00B0F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70AD47"/>
      <name val="Aptos Narrow"/>
      <family val="2"/>
    </font>
    <font>
      <sz val="11"/>
      <color rgb="FF000000"/>
      <name val="Calibri"/>
      <charset val="1"/>
      <scheme val="minor"/>
    </font>
    <font>
      <sz val="11"/>
      <color rgb="FF4472C4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Calibri"/>
      <scheme val="minor"/>
    </font>
    <font>
      <b/>
      <sz val="11"/>
      <color rgb="FF222222"/>
      <name val="Calibri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Aptos Narrow"/>
      <charset val="1"/>
    </font>
    <font>
      <sz val="10"/>
      <color rgb="FF000000"/>
      <name val="Arial"/>
      <charset val="1"/>
    </font>
    <font>
      <sz val="11"/>
      <name val="Calibri"/>
      <scheme val="minor"/>
    </font>
    <font>
      <sz val="10"/>
      <color rgb="FF000000"/>
      <name val="Roboto"/>
      <charset val="1"/>
    </font>
    <font>
      <b/>
      <sz val="11"/>
      <color rgb="FF000000"/>
      <name val="Aptos Narrow"/>
      <family val="2"/>
    </font>
    <font>
      <b/>
      <sz val="11"/>
      <color rgb="FF000000"/>
      <name val="Aptos Narrow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22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  <charset val="1"/>
      <scheme val="minor"/>
    </font>
    <font>
      <b/>
      <sz val="14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1"/>
      <color rgb="FFFFFFFF"/>
      <name val="Calibri"/>
      <family val="2"/>
      <charset val="1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A9DC93"/>
        <bgColor rgb="FFC3D69B"/>
      </patternFill>
    </fill>
    <fill>
      <patternFill patternType="solid">
        <fgColor rgb="FFC3D69B"/>
        <bgColor rgb="FFA9DC93"/>
      </patternFill>
    </fill>
    <fill>
      <patternFill patternType="solid">
        <fgColor rgb="FFFFC000"/>
        <bgColor rgb="FFF79646"/>
      </patternFill>
    </fill>
    <fill>
      <patternFill patternType="solid">
        <fgColor rgb="FFFFFFFF"/>
        <bgColor rgb="FFFDEADA"/>
      </patternFill>
    </fill>
    <fill>
      <patternFill patternType="solid">
        <fgColor rgb="FFA9D08E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F79443"/>
        <bgColor rgb="FFF79646"/>
      </patternFill>
    </fill>
    <fill>
      <patternFill patternType="solid">
        <fgColor rgb="FFF79646"/>
        <bgColor rgb="FFF79443"/>
      </patternFill>
    </fill>
    <fill>
      <patternFill patternType="solid">
        <fgColor rgb="FFF7964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3D69B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D9D9D9"/>
        <bgColor rgb="FF000000"/>
      </patternFill>
    </fill>
    <fill>
      <patternFill patternType="solid">
        <fgColor rgb="FFF79646"/>
        <bgColor rgb="FFF79646"/>
      </patternFill>
    </fill>
    <fill>
      <patternFill patternType="solid">
        <fgColor rgb="FF4F81BD"/>
        <bgColor rgb="FF4F81BD"/>
      </patternFill>
    </fill>
    <fill>
      <patternFill patternType="solid">
        <fgColor rgb="FF70AD47"/>
        <bgColor rgb="FF70AD47"/>
      </patternFill>
    </fill>
    <fill>
      <patternFill patternType="solid">
        <fgColor rgb="FF8ED973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4BACC6"/>
        <bgColor rgb="FF000000"/>
      </patternFill>
    </fill>
    <fill>
      <patternFill patternType="solid">
        <fgColor rgb="FF5B95F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92D050"/>
        <bgColor rgb="FFF79443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2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5" borderId="2" xfId="0" applyFont="1" applyFill="1" applyBorder="1"/>
    <xf numFmtId="0" fontId="2" fillId="5" borderId="1" xfId="0" applyFont="1" applyFill="1" applyBorder="1"/>
    <xf numFmtId="0" fontId="3" fillId="4" borderId="1" xfId="0" applyFont="1" applyFill="1" applyBorder="1"/>
    <xf numFmtId="0" fontId="2" fillId="0" borderId="1" xfId="0" applyFont="1" applyBorder="1"/>
    <xf numFmtId="0" fontId="3" fillId="4" borderId="3" xfId="0" applyFont="1" applyFill="1" applyBorder="1"/>
    <xf numFmtId="0" fontId="2" fillId="6" borderId="1" xfId="0" applyFont="1" applyFill="1" applyBorder="1"/>
    <xf numFmtId="0" fontId="3" fillId="4" borderId="4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3" fillId="4" borderId="0" xfId="0" applyFont="1" applyFill="1"/>
    <xf numFmtId="0" fontId="2" fillId="0" borderId="5" xfId="0" applyFont="1" applyBorder="1"/>
    <xf numFmtId="0" fontId="3" fillId="4" borderId="5" xfId="0" applyFont="1" applyFill="1" applyBorder="1"/>
    <xf numFmtId="0" fontId="2" fillId="0" borderId="4" xfId="0" applyFont="1" applyBorder="1"/>
    <xf numFmtId="0" fontId="3" fillId="4" borderId="6" xfId="0" applyFont="1" applyFill="1" applyBorder="1"/>
    <xf numFmtId="0" fontId="3" fillId="4" borderId="7" xfId="0" applyFont="1" applyFill="1" applyBorder="1"/>
    <xf numFmtId="0" fontId="2" fillId="0" borderId="7" xfId="0" applyFont="1" applyBorder="1"/>
    <xf numFmtId="0" fontId="2" fillId="6" borderId="0" xfId="0" applyFont="1" applyFill="1" applyAlignment="1">
      <alignment vertical="center"/>
    </xf>
    <xf numFmtId="0" fontId="2" fillId="6" borderId="3" xfId="0" applyFont="1" applyFill="1" applyBorder="1"/>
    <xf numFmtId="0" fontId="2" fillId="6" borderId="4" xfId="0" applyFont="1" applyFill="1" applyBorder="1"/>
    <xf numFmtId="0" fontId="3" fillId="4" borderId="2" xfId="0" applyFont="1" applyFill="1" applyBorder="1"/>
    <xf numFmtId="0" fontId="2" fillId="6" borderId="8" xfId="0" applyFont="1" applyFill="1" applyBorder="1"/>
    <xf numFmtId="0" fontId="5" fillId="5" borderId="0" xfId="0" applyFont="1" applyFill="1"/>
    <xf numFmtId="0" fontId="4" fillId="5" borderId="1" xfId="0" applyFont="1" applyFill="1" applyBorder="1"/>
    <xf numFmtId="0" fontId="5" fillId="5" borderId="1" xfId="0" applyFont="1" applyFill="1" applyBorder="1"/>
    <xf numFmtId="0" fontId="4" fillId="5" borderId="9" xfId="0" applyFont="1" applyFill="1" applyBorder="1"/>
    <xf numFmtId="0" fontId="3" fillId="5" borderId="1" xfId="0" applyFont="1" applyFill="1" applyBorder="1"/>
    <xf numFmtId="0" fontId="3" fillId="7" borderId="1" xfId="0" applyFont="1" applyFill="1" applyBorder="1"/>
    <xf numFmtId="0" fontId="5" fillId="8" borderId="0" xfId="0" applyFont="1" applyFill="1"/>
    <xf numFmtId="0" fontId="4" fillId="8" borderId="1" xfId="0" applyFont="1" applyFill="1" applyBorder="1"/>
    <xf numFmtId="0" fontId="5" fillId="8" borderId="1" xfId="0" applyFont="1" applyFill="1" applyBorder="1"/>
    <xf numFmtId="0" fontId="5" fillId="3" borderId="0" xfId="0" applyFont="1" applyFill="1"/>
    <xf numFmtId="0" fontId="4" fillId="3" borderId="1" xfId="0" applyFont="1" applyFill="1" applyBorder="1"/>
    <xf numFmtId="0" fontId="5" fillId="3" borderId="1" xfId="0" applyFont="1" applyFill="1" applyBorder="1"/>
    <xf numFmtId="0" fontId="5" fillId="10" borderId="0" xfId="0" applyFont="1" applyFill="1"/>
    <xf numFmtId="0" fontId="4" fillId="9" borderId="1" xfId="0" applyFont="1" applyFill="1" applyBorder="1"/>
    <xf numFmtId="8" fontId="5" fillId="11" borderId="1" xfId="0" applyNumberFormat="1" applyFont="1" applyFill="1" applyBorder="1"/>
    <xf numFmtId="8" fontId="4" fillId="10" borderId="1" xfId="0" applyNumberFormat="1" applyFont="1" applyFill="1" applyBorder="1"/>
    <xf numFmtId="8" fontId="5" fillId="10" borderId="1" xfId="0" applyNumberFormat="1" applyFont="1" applyFill="1" applyBorder="1"/>
    <xf numFmtId="0" fontId="5" fillId="11" borderId="1" xfId="0" applyFont="1" applyFill="1" applyBorder="1"/>
    <xf numFmtId="8" fontId="4" fillId="11" borderId="1" xfId="0" applyNumberFormat="1" applyFont="1" applyFill="1" applyBorder="1"/>
    <xf numFmtId="0" fontId="4" fillId="11" borderId="1" xfId="0" applyFont="1" applyFill="1" applyBorder="1"/>
    <xf numFmtId="8" fontId="5" fillId="12" borderId="0" xfId="0" applyNumberFormat="1" applyFont="1" applyFill="1"/>
    <xf numFmtId="8" fontId="2" fillId="0" borderId="0" xfId="0" applyNumberFormat="1" applyFont="1"/>
    <xf numFmtId="8" fontId="6" fillId="0" borderId="0" xfId="0" applyNumberFormat="1" applyFont="1"/>
    <xf numFmtId="8" fontId="3" fillId="0" borderId="0" xfId="0" applyNumberFormat="1" applyFont="1"/>
    <xf numFmtId="0" fontId="3" fillId="13" borderId="0" xfId="0" applyFont="1" applyFill="1"/>
    <xf numFmtId="0" fontId="5" fillId="13" borderId="0" xfId="0" applyFont="1" applyFill="1"/>
    <xf numFmtId="0" fontId="4" fillId="13" borderId="0" xfId="0" applyFont="1" applyFill="1"/>
    <xf numFmtId="0" fontId="2" fillId="13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4" borderId="0" xfId="0" applyFont="1" applyFill="1"/>
    <xf numFmtId="0" fontId="5" fillId="0" borderId="0" xfId="0" applyFont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8" fontId="3" fillId="14" borderId="1" xfId="0" applyNumberFormat="1" applyFont="1" applyFill="1" applyBorder="1"/>
    <xf numFmtId="8" fontId="2" fillId="14" borderId="1" xfId="0" applyNumberFormat="1" applyFont="1" applyFill="1" applyBorder="1"/>
    <xf numFmtId="8" fontId="3" fillId="15" borderId="1" xfId="0" applyNumberFormat="1" applyFont="1" applyFill="1" applyBorder="1"/>
    <xf numFmtId="8" fontId="2" fillId="0" borderId="1" xfId="0" applyNumberFormat="1" applyFont="1" applyBorder="1"/>
    <xf numFmtId="0" fontId="3" fillId="15" borderId="1" xfId="0" applyFont="1" applyFill="1" applyBorder="1"/>
    <xf numFmtId="8" fontId="2" fillId="2" borderId="1" xfId="0" applyNumberFormat="1" applyFont="1" applyFill="1" applyBorder="1"/>
    <xf numFmtId="8" fontId="2" fillId="0" borderId="4" xfId="0" applyNumberFormat="1" applyFont="1" applyBorder="1"/>
    <xf numFmtId="0" fontId="5" fillId="11" borderId="0" xfId="0" applyFont="1" applyFill="1"/>
    <xf numFmtId="8" fontId="3" fillId="16" borderId="4" xfId="0" applyNumberFormat="1" applyFont="1" applyFill="1" applyBorder="1"/>
    <xf numFmtId="0" fontId="3" fillId="16" borderId="4" xfId="0" applyFont="1" applyFill="1" applyBorder="1"/>
    <xf numFmtId="8" fontId="3" fillId="16" borderId="1" xfId="0" applyNumberFormat="1" applyFont="1" applyFill="1" applyBorder="1"/>
    <xf numFmtId="0" fontId="3" fillId="16" borderId="1" xfId="0" applyFont="1" applyFill="1" applyBorder="1"/>
    <xf numFmtId="0" fontId="2" fillId="14" borderId="1" xfId="0" applyFont="1" applyFill="1" applyBorder="1"/>
    <xf numFmtId="0" fontId="3" fillId="14" borderId="1" xfId="0" applyFont="1" applyFill="1" applyBorder="1"/>
    <xf numFmtId="8" fontId="3" fillId="4" borderId="1" xfId="0" applyNumberFormat="1" applyFont="1" applyFill="1" applyBorder="1"/>
    <xf numFmtId="0" fontId="4" fillId="11" borderId="3" xfId="0" applyFont="1" applyFill="1" applyBorder="1"/>
    <xf numFmtId="0" fontId="4" fillId="11" borderId="5" xfId="0" applyFont="1" applyFill="1" applyBorder="1"/>
    <xf numFmtId="0" fontId="5" fillId="11" borderId="4" xfId="0" applyFont="1" applyFill="1" applyBorder="1"/>
    <xf numFmtId="0" fontId="4" fillId="11" borderId="2" xfId="0" applyFont="1" applyFill="1" applyBorder="1"/>
    <xf numFmtId="0" fontId="2" fillId="17" borderId="1" xfId="0" applyFont="1" applyFill="1" applyBorder="1"/>
    <xf numFmtId="8" fontId="3" fillId="4" borderId="4" xfId="0" applyNumberFormat="1" applyFont="1" applyFill="1" applyBorder="1"/>
    <xf numFmtId="0" fontId="3" fillId="18" borderId="7" xfId="0" applyFont="1" applyFill="1" applyBorder="1"/>
    <xf numFmtId="0" fontId="3" fillId="2" borderId="1" xfId="0" applyFont="1" applyFill="1" applyBorder="1"/>
    <xf numFmtId="0" fontId="7" fillId="0" borderId="0" xfId="0" applyFont="1"/>
    <xf numFmtId="0" fontId="3" fillId="19" borderId="1" xfId="0" applyFont="1" applyFill="1" applyBorder="1"/>
    <xf numFmtId="0" fontId="2" fillId="2" borderId="1" xfId="0" applyFont="1" applyFill="1" applyBorder="1"/>
    <xf numFmtId="0" fontId="5" fillId="11" borderId="3" xfId="0" applyFont="1" applyFill="1" applyBorder="1"/>
    <xf numFmtId="0" fontId="2" fillId="20" borderId="0" xfId="0" applyFont="1" applyFill="1"/>
    <xf numFmtId="8" fontId="2" fillId="0" borderId="3" xfId="0" applyNumberFormat="1" applyFont="1" applyBorder="1"/>
    <xf numFmtId="8" fontId="3" fillId="2" borderId="1" xfId="0" applyNumberFormat="1" applyFont="1" applyFill="1" applyBorder="1"/>
    <xf numFmtId="8" fontId="7" fillId="0" borderId="0" xfId="0" applyNumberFormat="1" applyFont="1"/>
    <xf numFmtId="0" fontId="7" fillId="14" borderId="1" xfId="0" applyFont="1" applyFill="1" applyBorder="1"/>
    <xf numFmtId="0" fontId="9" fillId="14" borderId="3" xfId="0" applyFont="1" applyFill="1" applyBorder="1"/>
    <xf numFmtId="0" fontId="7" fillId="14" borderId="1" xfId="0" applyFont="1" applyFill="1" applyBorder="1" applyAlignment="1">
      <alignment wrapText="1"/>
    </xf>
    <xf numFmtId="0" fontId="7" fillId="14" borderId="1" xfId="0" applyFont="1" applyFill="1" applyBorder="1" applyAlignment="1">
      <alignment horizontal="center" wrapText="1"/>
    </xf>
    <xf numFmtId="0" fontId="10" fillId="14" borderId="5" xfId="0" applyFont="1" applyFill="1" applyBorder="1" applyAlignment="1">
      <alignment horizontal="center" wrapText="1"/>
    </xf>
    <xf numFmtId="0" fontId="6" fillId="0" borderId="0" xfId="0" applyFont="1"/>
    <xf numFmtId="0" fontId="6" fillId="22" borderId="0" xfId="0" applyFont="1" applyFill="1"/>
    <xf numFmtId="0" fontId="6" fillId="14" borderId="5" xfId="0" applyFont="1" applyFill="1" applyBorder="1"/>
    <xf numFmtId="0" fontId="11" fillId="0" borderId="0" xfId="0" applyFont="1"/>
    <xf numFmtId="0" fontId="11" fillId="17" borderId="4" xfId="0" applyFont="1" applyFill="1" applyBorder="1"/>
    <xf numFmtId="0" fontId="6" fillId="2" borderId="2" xfId="0" applyFont="1" applyFill="1" applyBorder="1"/>
    <xf numFmtId="0" fontId="10" fillId="17" borderId="1" xfId="0" applyFont="1" applyFill="1" applyBorder="1" applyAlignment="1">
      <alignment horizontal="center"/>
    </xf>
    <xf numFmtId="0" fontId="12" fillId="17" borderId="1" xfId="0" applyFont="1" applyFill="1" applyBorder="1"/>
    <xf numFmtId="0" fontId="7" fillId="17" borderId="1" xfId="0" applyFont="1" applyFill="1" applyBorder="1"/>
    <xf numFmtId="0" fontId="7" fillId="17" borderId="5" xfId="0" applyFont="1" applyFill="1" applyBorder="1"/>
    <xf numFmtId="8" fontId="7" fillId="0" borderId="8" xfId="0" applyNumberFormat="1" applyFont="1" applyBorder="1" applyAlignment="1">
      <alignment wrapText="1"/>
    </xf>
    <xf numFmtId="8" fontId="12" fillId="14" borderId="1" xfId="0" applyNumberFormat="1" applyFont="1" applyFill="1" applyBorder="1"/>
    <xf numFmtId="0" fontId="1" fillId="0" borderId="0" xfId="0" applyFont="1"/>
    <xf numFmtId="0" fontId="1" fillId="17" borderId="1" xfId="0" applyFont="1" applyFill="1" applyBorder="1"/>
    <xf numFmtId="0" fontId="10" fillId="17" borderId="1" xfId="0" applyFont="1" applyFill="1" applyBorder="1"/>
    <xf numFmtId="0" fontId="1" fillId="17" borderId="5" xfId="0" applyFont="1" applyFill="1" applyBorder="1"/>
    <xf numFmtId="0" fontId="10" fillId="22" borderId="1" xfId="0" applyFont="1" applyFill="1" applyBorder="1"/>
    <xf numFmtId="0" fontId="6" fillId="19" borderId="4" xfId="0" applyFont="1" applyFill="1" applyBorder="1"/>
    <xf numFmtId="0" fontId="7" fillId="0" borderId="4" xfId="0" applyFont="1" applyBorder="1"/>
    <xf numFmtId="0" fontId="13" fillId="17" borderId="1" xfId="0" applyFont="1" applyFill="1" applyBorder="1"/>
    <xf numFmtId="8" fontId="7" fillId="0" borderId="10" xfId="0" applyNumberFormat="1" applyFont="1" applyBorder="1"/>
    <xf numFmtId="0" fontId="1" fillId="2" borderId="11" xfId="0" applyFont="1" applyFill="1" applyBorder="1"/>
    <xf numFmtId="0" fontId="1" fillId="0" borderId="2" xfId="0" applyFont="1" applyBorder="1"/>
    <xf numFmtId="8" fontId="12" fillId="14" borderId="12" xfId="0" applyNumberFormat="1" applyFont="1" applyFill="1" applyBorder="1"/>
    <xf numFmtId="0" fontId="14" fillId="17" borderId="5" xfId="0" applyFont="1" applyFill="1" applyBorder="1"/>
    <xf numFmtId="0" fontId="7" fillId="0" borderId="2" xfId="0" applyFont="1" applyBorder="1"/>
    <xf numFmtId="8" fontId="7" fillId="0" borderId="4" xfId="0" applyNumberFormat="1" applyFont="1" applyBorder="1"/>
    <xf numFmtId="0" fontId="6" fillId="19" borderId="0" xfId="0" applyFont="1" applyFill="1"/>
    <xf numFmtId="0" fontId="7" fillId="23" borderId="4" xfId="0" applyFont="1" applyFill="1" applyBorder="1"/>
    <xf numFmtId="0" fontId="6" fillId="23" borderId="4" xfId="0" applyFont="1" applyFill="1" applyBorder="1"/>
    <xf numFmtId="0" fontId="15" fillId="0" borderId="2" xfId="0" applyFont="1" applyBorder="1"/>
    <xf numFmtId="0" fontId="7" fillId="0" borderId="5" xfId="0" applyFont="1" applyBorder="1"/>
    <xf numFmtId="0" fontId="11" fillId="23" borderId="4" xfId="0" applyFont="1" applyFill="1" applyBorder="1"/>
    <xf numFmtId="0" fontId="7" fillId="0" borderId="1" xfId="0" applyFont="1" applyBorder="1"/>
    <xf numFmtId="0" fontId="15" fillId="17" borderId="1" xfId="0" applyFont="1" applyFill="1" applyBorder="1"/>
    <xf numFmtId="0" fontId="6" fillId="14" borderId="1" xfId="0" applyFont="1" applyFill="1" applyBorder="1"/>
    <xf numFmtId="8" fontId="9" fillId="14" borderId="1" xfId="0" applyNumberFormat="1" applyFont="1" applyFill="1" applyBorder="1"/>
    <xf numFmtId="8" fontId="15" fillId="14" borderId="1" xfId="0" applyNumberFormat="1" applyFont="1" applyFill="1" applyBorder="1"/>
    <xf numFmtId="0" fontId="6" fillId="17" borderId="1" xfId="0" applyFont="1" applyFill="1" applyBorder="1"/>
    <xf numFmtId="0" fontId="10" fillId="17" borderId="5" xfId="0" applyFont="1" applyFill="1" applyBorder="1"/>
    <xf numFmtId="0" fontId="9" fillId="14" borderId="1" xfId="0" applyFont="1" applyFill="1" applyBorder="1"/>
    <xf numFmtId="8" fontId="11" fillId="17" borderId="3" xfId="0" applyNumberFormat="1" applyFont="1" applyFill="1" applyBorder="1"/>
    <xf numFmtId="0" fontId="7" fillId="17" borderId="3" xfId="0" applyFont="1" applyFill="1" applyBorder="1"/>
    <xf numFmtId="0" fontId="7" fillId="17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8" fontId="11" fillId="17" borderId="4" xfId="0" applyNumberFormat="1" applyFont="1" applyFill="1" applyBorder="1"/>
    <xf numFmtId="0" fontId="7" fillId="17" borderId="4" xfId="0" applyFont="1" applyFill="1" applyBorder="1" applyAlignment="1">
      <alignment horizontal="center"/>
    </xf>
    <xf numFmtId="0" fontId="7" fillId="17" borderId="13" xfId="0" applyFont="1" applyFill="1" applyBorder="1" applyAlignment="1">
      <alignment horizontal="center"/>
    </xf>
    <xf numFmtId="0" fontId="7" fillId="17" borderId="14" xfId="0" applyFont="1" applyFill="1" applyBorder="1"/>
    <xf numFmtId="0" fontId="16" fillId="0" borderId="4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7" fillId="0" borderId="15" xfId="0" applyFont="1" applyBorder="1"/>
    <xf numFmtId="8" fontId="11" fillId="0" borderId="16" xfId="0" applyNumberFormat="1" applyFont="1" applyBorder="1"/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17" borderId="17" xfId="0" applyFont="1" applyFill="1" applyBorder="1"/>
    <xf numFmtId="8" fontId="11" fillId="0" borderId="5" xfId="0" applyNumberFormat="1" applyFont="1" applyBorder="1"/>
    <xf numFmtId="0" fontId="7" fillId="17" borderId="4" xfId="0" applyFont="1" applyFill="1" applyBorder="1"/>
    <xf numFmtId="8" fontId="11" fillId="17" borderId="5" xfId="0" applyNumberFormat="1" applyFont="1" applyFill="1" applyBorder="1"/>
    <xf numFmtId="0" fontId="1" fillId="17" borderId="4" xfId="0" applyFont="1" applyFill="1" applyBorder="1"/>
    <xf numFmtId="0" fontId="7" fillId="17" borderId="18" xfId="0" applyFont="1" applyFill="1" applyBorder="1"/>
    <xf numFmtId="0" fontId="7" fillId="17" borderId="15" xfId="0" applyFont="1" applyFill="1" applyBorder="1"/>
    <xf numFmtId="8" fontId="9" fillId="14" borderId="5" xfId="0" applyNumberFormat="1" applyFont="1" applyFill="1" applyBorder="1"/>
    <xf numFmtId="8" fontId="6" fillId="14" borderId="4" xfId="0" applyNumberFormat="1" applyFont="1" applyFill="1" applyBorder="1"/>
    <xf numFmtId="0" fontId="6" fillId="17" borderId="4" xfId="0" applyFont="1" applyFill="1" applyBorder="1"/>
    <xf numFmtId="0" fontId="6" fillId="17" borderId="4" xfId="0" applyFont="1" applyFill="1" applyBorder="1" applyAlignment="1">
      <alignment horizontal="center"/>
    </xf>
    <xf numFmtId="0" fontId="6" fillId="17" borderId="15" xfId="0" applyFont="1" applyFill="1" applyBorder="1"/>
    <xf numFmtId="0" fontId="9" fillId="14" borderId="5" xfId="0" applyFont="1" applyFill="1" applyBorder="1"/>
    <xf numFmtId="0" fontId="6" fillId="14" borderId="4" xfId="0" applyFont="1" applyFill="1" applyBorder="1"/>
    <xf numFmtId="0" fontId="7" fillId="14" borderId="4" xfId="0" applyFont="1" applyFill="1" applyBorder="1"/>
    <xf numFmtId="0" fontId="7" fillId="14" borderId="19" xfId="0" applyFont="1" applyFill="1" applyBorder="1"/>
    <xf numFmtId="0" fontId="18" fillId="17" borderId="5" xfId="0" applyFont="1" applyFill="1" applyBorder="1"/>
    <xf numFmtId="0" fontId="19" fillId="17" borderId="4" xfId="0" applyFont="1" applyFill="1" applyBorder="1"/>
    <xf numFmtId="0" fontId="7" fillId="17" borderId="2" xfId="0" applyFont="1" applyFill="1" applyBorder="1"/>
    <xf numFmtId="0" fontId="7" fillId="17" borderId="0" xfId="0" applyFont="1" applyFill="1"/>
    <xf numFmtId="0" fontId="11" fillId="17" borderId="5" xfId="0" applyFont="1" applyFill="1" applyBorder="1"/>
    <xf numFmtId="0" fontId="11" fillId="14" borderId="1" xfId="0" applyFont="1" applyFill="1" applyBorder="1"/>
    <xf numFmtId="0" fontId="7" fillId="14" borderId="7" xfId="0" applyFont="1" applyFill="1" applyBorder="1"/>
    <xf numFmtId="0" fontId="11" fillId="17" borderId="1" xfId="0" applyFont="1" applyFill="1" applyBorder="1"/>
    <xf numFmtId="8" fontId="9" fillId="17" borderId="1" xfId="0" applyNumberFormat="1" applyFont="1" applyFill="1" applyBorder="1"/>
    <xf numFmtId="0" fontId="6" fillId="14" borderId="3" xfId="0" applyFont="1" applyFill="1" applyBorder="1"/>
    <xf numFmtId="0" fontId="6" fillId="14" borderId="14" xfId="0" applyFont="1" applyFill="1" applyBorder="1"/>
    <xf numFmtId="8" fontId="20" fillId="17" borderId="4" xfId="0" applyNumberFormat="1" applyFont="1" applyFill="1" applyBorder="1" applyAlignment="1">
      <alignment wrapText="1"/>
    </xf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7" fillId="17" borderId="20" xfId="0" applyFont="1" applyFill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0" fillId="0" borderId="0" xfId="0" applyFont="1"/>
    <xf numFmtId="0" fontId="5" fillId="14" borderId="4" xfId="0" applyFont="1" applyFill="1" applyBorder="1"/>
    <xf numFmtId="0" fontId="7" fillId="17" borderId="20" xfId="0" applyFont="1" applyFill="1" applyBorder="1"/>
    <xf numFmtId="0" fontId="7" fillId="17" borderId="4" xfId="0" applyFont="1" applyFill="1" applyBorder="1" applyAlignment="1">
      <alignment wrapText="1"/>
    </xf>
    <xf numFmtId="0" fontId="23" fillId="17" borderId="4" xfId="0" applyFont="1" applyFill="1" applyBorder="1"/>
    <xf numFmtId="8" fontId="7" fillId="17" borderId="4" xfId="0" applyNumberFormat="1" applyFont="1" applyFill="1" applyBorder="1" applyAlignment="1">
      <alignment wrapText="1"/>
    </xf>
    <xf numFmtId="0" fontId="22" fillId="0" borderId="4" xfId="0" applyFont="1" applyBorder="1"/>
    <xf numFmtId="0" fontId="6" fillId="14" borderId="7" xfId="0" applyFont="1" applyFill="1" applyBorder="1"/>
    <xf numFmtId="0" fontId="9" fillId="14" borderId="7" xfId="0" applyFont="1" applyFill="1" applyBorder="1"/>
    <xf numFmtId="8" fontId="9" fillId="14" borderId="7" xfId="0" applyNumberFormat="1" applyFont="1" applyFill="1" applyBorder="1"/>
    <xf numFmtId="0" fontId="6" fillId="17" borderId="7" xfId="0" applyFont="1" applyFill="1" applyBorder="1"/>
    <xf numFmtId="0" fontId="6" fillId="17" borderId="16" xfId="0" applyFont="1" applyFill="1" applyBorder="1"/>
    <xf numFmtId="0" fontId="6" fillId="17" borderId="0" xfId="0" applyFont="1" applyFill="1"/>
    <xf numFmtId="0" fontId="24" fillId="17" borderId="20" xfId="0" applyFont="1" applyFill="1" applyBorder="1"/>
    <xf numFmtId="0" fontId="25" fillId="17" borderId="20" xfId="0" applyFont="1" applyFill="1" applyBorder="1"/>
    <xf numFmtId="0" fontId="7" fillId="17" borderId="6" xfId="0" applyFont="1" applyFill="1" applyBorder="1"/>
    <xf numFmtId="0" fontId="26" fillId="17" borderId="4" xfId="0" applyFont="1" applyFill="1" applyBorder="1"/>
    <xf numFmtId="0" fontId="7" fillId="17" borderId="11" xfId="0" applyFont="1" applyFill="1" applyBorder="1"/>
    <xf numFmtId="0" fontId="6" fillId="14" borderId="7" xfId="0" applyFont="1" applyFill="1" applyBorder="1" applyAlignment="1">
      <alignment wrapText="1"/>
    </xf>
    <xf numFmtId="0" fontId="25" fillId="17" borderId="4" xfId="0" applyFont="1" applyFill="1" applyBorder="1"/>
    <xf numFmtId="0" fontId="23" fillId="0" borderId="2" xfId="0" applyFont="1" applyBorder="1"/>
    <xf numFmtId="0" fontId="23" fillId="0" borderId="1" xfId="0" applyFont="1" applyBorder="1"/>
    <xf numFmtId="0" fontId="25" fillId="0" borderId="4" xfId="0" applyFont="1" applyBorder="1"/>
    <xf numFmtId="0" fontId="9" fillId="17" borderId="1" xfId="0" applyFont="1" applyFill="1" applyBorder="1"/>
    <xf numFmtId="0" fontId="6" fillId="14" borderId="1" xfId="0" applyFont="1" applyFill="1" applyBorder="1" applyAlignment="1">
      <alignment wrapText="1"/>
    </xf>
    <xf numFmtId="0" fontId="27" fillId="17" borderId="1" xfId="0" applyFont="1" applyFill="1" applyBorder="1"/>
    <xf numFmtId="0" fontId="6" fillId="7" borderId="4" xfId="0" applyFont="1" applyFill="1" applyBorder="1"/>
    <xf numFmtId="0" fontId="9" fillId="7" borderId="4" xfId="0" applyFont="1" applyFill="1" applyBorder="1"/>
    <xf numFmtId="0" fontId="7" fillId="7" borderId="4" xfId="0" applyFont="1" applyFill="1" applyBorder="1"/>
    <xf numFmtId="8" fontId="11" fillId="0" borderId="4" xfId="0" applyNumberFormat="1" applyFont="1" applyBorder="1"/>
    <xf numFmtId="0" fontId="11" fillId="0" borderId="4" xfId="0" applyFont="1" applyBorder="1"/>
    <xf numFmtId="0" fontId="6" fillId="7" borderId="4" xfId="0" applyFont="1" applyFill="1" applyBorder="1" applyAlignment="1">
      <alignment wrapText="1"/>
    </xf>
    <xf numFmtId="0" fontId="6" fillId="7" borderId="4" xfId="0" applyFont="1" applyFill="1" applyBorder="1" applyAlignment="1">
      <alignment horizontal="left"/>
    </xf>
    <xf numFmtId="0" fontId="11" fillId="0" borderId="4" xfId="0" applyFont="1" applyBorder="1" applyAlignment="1">
      <alignment horizontal="right"/>
    </xf>
    <xf numFmtId="0" fontId="6" fillId="0" borderId="4" xfId="0" applyFont="1" applyBorder="1"/>
    <xf numFmtId="0" fontId="9" fillId="23" borderId="4" xfId="0" applyFont="1" applyFill="1" applyBorder="1"/>
    <xf numFmtId="0" fontId="9" fillId="0" borderId="4" xfId="0" applyFont="1" applyBorder="1"/>
    <xf numFmtId="0" fontId="6" fillId="24" borderId="4" xfId="0" applyFont="1" applyFill="1" applyBorder="1"/>
    <xf numFmtId="0" fontId="9" fillId="24" borderId="4" xfId="0" applyFont="1" applyFill="1" applyBorder="1"/>
    <xf numFmtId="0" fontId="6" fillId="24" borderId="4" xfId="0" applyFont="1" applyFill="1" applyBorder="1" applyAlignment="1">
      <alignment horizontal="center"/>
    </xf>
    <xf numFmtId="8" fontId="7" fillId="17" borderId="4" xfId="0" applyNumberFormat="1" applyFont="1" applyFill="1" applyBorder="1"/>
    <xf numFmtId="0" fontId="28" fillId="17" borderId="4" xfId="0" applyFont="1" applyFill="1" applyBorder="1"/>
    <xf numFmtId="0" fontId="6" fillId="14" borderId="16" xfId="0" applyFont="1" applyFill="1" applyBorder="1"/>
    <xf numFmtId="8" fontId="9" fillId="17" borderId="6" xfId="0" applyNumberFormat="1" applyFont="1" applyFill="1" applyBorder="1"/>
    <xf numFmtId="0" fontId="6" fillId="14" borderId="0" xfId="0" applyFont="1" applyFill="1"/>
    <xf numFmtId="8" fontId="9" fillId="14" borderId="4" xfId="0" applyNumberFormat="1" applyFont="1" applyFill="1" applyBorder="1"/>
    <xf numFmtId="0" fontId="7" fillId="0" borderId="0" xfId="0" applyFont="1" applyAlignment="1">
      <alignment vertical="center"/>
    </xf>
    <xf numFmtId="0" fontId="9" fillId="14" borderId="0" xfId="0" applyFont="1" applyFill="1"/>
    <xf numFmtId="8" fontId="20" fillId="0" borderId="4" xfId="0" applyNumberFormat="1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21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7" borderId="0" xfId="0" applyFont="1" applyFill="1"/>
    <xf numFmtId="0" fontId="2" fillId="27" borderId="1" xfId="0" applyFont="1" applyFill="1" applyBorder="1"/>
    <xf numFmtId="8" fontId="2" fillId="27" borderId="1" xfId="0" applyNumberFormat="1" applyFont="1" applyFill="1" applyBorder="1"/>
    <xf numFmtId="8" fontId="5" fillId="25" borderId="1" xfId="0" applyNumberFormat="1" applyFont="1" applyFill="1" applyBorder="1"/>
    <xf numFmtId="14" fontId="2" fillId="0" borderId="1" xfId="0" applyNumberFormat="1" applyFont="1" applyBorder="1"/>
    <xf numFmtId="0" fontId="2" fillId="28" borderId="0" xfId="0" applyFont="1" applyFill="1"/>
    <xf numFmtId="8" fontId="5" fillId="0" borderId="1" xfId="0" applyNumberFormat="1" applyFont="1" applyBorder="1"/>
    <xf numFmtId="0" fontId="5" fillId="25" borderId="1" xfId="0" applyFont="1" applyFill="1" applyBorder="1"/>
    <xf numFmtId="8" fontId="5" fillId="0" borderId="0" xfId="0" applyNumberFormat="1" applyFont="1"/>
    <xf numFmtId="0" fontId="9" fillId="29" borderId="4" xfId="0" applyFont="1" applyFill="1" applyBorder="1" applyAlignment="1">
      <alignment horizontal="center" vertical="center" wrapText="1"/>
    </xf>
    <xf numFmtId="0" fontId="9" fillId="29" borderId="8" xfId="0" applyFont="1" applyFill="1" applyBorder="1" applyAlignment="1">
      <alignment horizontal="center" vertical="center" wrapText="1"/>
    </xf>
    <xf numFmtId="0" fontId="9" fillId="21" borderId="8" xfId="0" applyFont="1" applyFill="1" applyBorder="1" applyAlignment="1">
      <alignment horizontal="center" vertical="center" wrapText="1"/>
    </xf>
    <xf numFmtId="0" fontId="9" fillId="30" borderId="8" xfId="0" applyFont="1" applyFill="1" applyBorder="1" applyAlignment="1">
      <alignment horizontal="center" vertical="center" wrapText="1"/>
    </xf>
    <xf numFmtId="0" fontId="9" fillId="22" borderId="8" xfId="0" applyFont="1" applyFill="1" applyBorder="1" applyAlignment="1">
      <alignment horizontal="center" vertical="center" wrapText="1"/>
    </xf>
    <xf numFmtId="9" fontId="9" fillId="29" borderId="8" xfId="0" applyNumberFormat="1" applyFont="1" applyFill="1" applyBorder="1" applyAlignment="1">
      <alignment horizontal="center" vertical="center" wrapText="1"/>
    </xf>
    <xf numFmtId="0" fontId="9" fillId="31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1" fillId="0" borderId="20" xfId="0" applyFont="1" applyBorder="1" applyAlignment="1">
      <alignment horizontal="center"/>
    </xf>
    <xf numFmtId="0" fontId="30" fillId="0" borderId="0" xfId="0" applyFont="1"/>
    <xf numFmtId="0" fontId="30" fillId="0" borderId="12" xfId="0" applyFont="1" applyBorder="1"/>
    <xf numFmtId="0" fontId="11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31" fillId="0" borderId="4" xfId="0" applyFont="1" applyBorder="1"/>
    <xf numFmtId="8" fontId="11" fillId="0" borderId="4" xfId="0" applyNumberFormat="1" applyFont="1" applyBorder="1" applyAlignment="1">
      <alignment horizontal="center"/>
    </xf>
    <xf numFmtId="10" fontId="11" fillId="0" borderId="4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20" xfId="0" applyFont="1" applyBorder="1"/>
    <xf numFmtId="0" fontId="11" fillId="0" borderId="12" xfId="0" applyFont="1" applyBorder="1"/>
    <xf numFmtId="0" fontId="31" fillId="0" borderId="4" xfId="0" applyFont="1" applyBorder="1" applyAlignment="1">
      <alignment horizontal="center"/>
    </xf>
    <xf numFmtId="10" fontId="11" fillId="0" borderId="4" xfId="0" applyNumberFormat="1" applyFont="1" applyBorder="1"/>
    <xf numFmtId="0" fontId="7" fillId="0" borderId="12" xfId="0" applyFont="1" applyBorder="1"/>
    <xf numFmtId="0" fontId="11" fillId="0" borderId="22" xfId="0" applyFont="1" applyBorder="1"/>
    <xf numFmtId="0" fontId="11" fillId="0" borderId="23" xfId="0" applyFont="1" applyBorder="1"/>
    <xf numFmtId="0" fontId="29" fillId="0" borderId="20" xfId="0" applyFont="1" applyBorder="1"/>
    <xf numFmtId="0" fontId="11" fillId="0" borderId="4" xfId="0" applyFont="1" applyBorder="1" applyAlignment="1">
      <alignment horizontal="left"/>
    </xf>
    <xf numFmtId="0" fontId="30" fillId="0" borderId="4" xfId="0" applyFont="1" applyBorder="1"/>
    <xf numFmtId="0" fontId="11" fillId="0" borderId="21" xfId="0" applyFont="1" applyBorder="1" applyAlignment="1">
      <alignment readingOrder="1"/>
    </xf>
    <xf numFmtId="0" fontId="30" fillId="0" borderId="10" xfId="0" applyFont="1" applyBorder="1"/>
    <xf numFmtId="0" fontId="30" fillId="0" borderId="8" xfId="0" applyFont="1" applyBorder="1"/>
    <xf numFmtId="0" fontId="30" fillId="0" borderId="6" xfId="0" applyFont="1" applyBorder="1"/>
    <xf numFmtId="0" fontId="32" fillId="0" borderId="4" xfId="0" applyFont="1" applyBorder="1"/>
    <xf numFmtId="0" fontId="11" fillId="0" borderId="8" xfId="0" applyFont="1" applyBorder="1"/>
    <xf numFmtId="0" fontId="11" fillId="0" borderId="6" xfId="0" applyFont="1" applyBorder="1"/>
    <xf numFmtId="0" fontId="11" fillId="0" borderId="21" xfId="0" applyFont="1" applyBorder="1"/>
    <xf numFmtId="0" fontId="7" fillId="0" borderId="20" xfId="0" applyFont="1" applyBorder="1"/>
    <xf numFmtId="0" fontId="11" fillId="0" borderId="15" xfId="0" applyFont="1" applyBorder="1"/>
    <xf numFmtId="0" fontId="32" fillId="0" borderId="8" xfId="0" applyFont="1" applyBorder="1"/>
    <xf numFmtId="0" fontId="11" fillId="0" borderId="20" xfId="0" applyFont="1" applyBorder="1" applyAlignment="1">
      <alignment horizontal="left"/>
    </xf>
    <xf numFmtId="0" fontId="33" fillId="0" borderId="0" xfId="0" applyFont="1"/>
    <xf numFmtId="8" fontId="20" fillId="0" borderId="0" xfId="0" applyNumberFormat="1" applyFont="1"/>
    <xf numFmtId="0" fontId="20" fillId="0" borderId="15" xfId="0" applyFont="1" applyBorder="1"/>
    <xf numFmtId="0" fontId="34" fillId="2" borderId="20" xfId="0" applyFont="1" applyFill="1" applyBorder="1"/>
    <xf numFmtId="0" fontId="20" fillId="0" borderId="12" xfId="0" applyFont="1" applyBorder="1"/>
    <xf numFmtId="0" fontId="20" fillId="0" borderId="4" xfId="0" applyFont="1" applyBorder="1"/>
    <xf numFmtId="0" fontId="20" fillId="32" borderId="4" xfId="0" applyFont="1" applyFill="1" applyBorder="1"/>
    <xf numFmtId="0" fontId="20" fillId="33" borderId="4" xfId="0" applyFont="1" applyFill="1" applyBorder="1"/>
    <xf numFmtId="14" fontId="20" fillId="0" borderId="0" xfId="0" applyNumberFormat="1" applyFont="1"/>
    <xf numFmtId="8" fontId="20" fillId="32" borderId="0" xfId="0" applyNumberFormat="1" applyFont="1" applyFill="1"/>
    <xf numFmtId="0" fontId="20" fillId="33" borderId="0" xfId="0" applyFont="1" applyFill="1"/>
    <xf numFmtId="0" fontId="20" fillId="32" borderId="0" xfId="0" applyFont="1" applyFill="1"/>
    <xf numFmtId="8" fontId="20" fillId="33" borderId="0" xfId="0" applyNumberFormat="1" applyFont="1" applyFill="1"/>
    <xf numFmtId="0" fontId="0" fillId="34" borderId="0" xfId="0" applyFill="1"/>
    <xf numFmtId="8" fontId="6" fillId="0" borderId="4" xfId="0" applyNumberFormat="1" applyFont="1" applyBorder="1" applyAlignment="1">
      <alignment horizontal="center"/>
    </xf>
    <xf numFmtId="0" fontId="7" fillId="16" borderId="20" xfId="0" applyFont="1" applyFill="1" applyBorder="1"/>
    <xf numFmtId="0" fontId="6" fillId="0" borderId="24" xfId="0" applyFont="1" applyBorder="1" applyAlignment="1">
      <alignment horizontal="center"/>
    </xf>
    <xf numFmtId="0" fontId="7" fillId="16" borderId="4" xfId="0" applyFont="1" applyFill="1" applyBorder="1"/>
    <xf numFmtId="0" fontId="6" fillId="0" borderId="6" xfId="0" applyFont="1" applyBorder="1" applyAlignment="1">
      <alignment horizontal="center"/>
    </xf>
    <xf numFmtId="0" fontId="6" fillId="35" borderId="8" xfId="0" applyFont="1" applyFill="1" applyBorder="1" applyAlignment="1">
      <alignment horizontal="center"/>
    </xf>
    <xf numFmtId="8" fontId="6" fillId="0" borderId="6" xfId="0" applyNumberFormat="1" applyFont="1" applyBorder="1" applyAlignment="1">
      <alignment horizontal="center"/>
    </xf>
    <xf numFmtId="8" fontId="7" fillId="20" borderId="4" xfId="0" applyNumberFormat="1" applyFont="1" applyFill="1" applyBorder="1" applyAlignment="1">
      <alignment horizontal="center"/>
    </xf>
    <xf numFmtId="8" fontId="7" fillId="0" borderId="4" xfId="0" applyNumberFormat="1" applyFont="1" applyBorder="1" applyAlignment="1">
      <alignment horizontal="center"/>
    </xf>
    <xf numFmtId="0" fontId="6" fillId="2" borderId="0" xfId="0" applyFont="1" applyFill="1"/>
    <xf numFmtId="0" fontId="7" fillId="14" borderId="0" xfId="0" applyFont="1" applyFill="1"/>
    <xf numFmtId="0" fontId="6" fillId="36" borderId="25" xfId="0" applyFont="1" applyFill="1" applyBorder="1" applyAlignment="1">
      <alignment horizontal="center"/>
    </xf>
    <xf numFmtId="0" fontId="6" fillId="36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37" borderId="6" xfId="0" applyFont="1" applyFill="1" applyBorder="1" applyAlignment="1">
      <alignment horizontal="center"/>
    </xf>
    <xf numFmtId="0" fontId="7" fillId="37" borderId="12" xfId="0" applyFont="1" applyFill="1" applyBorder="1" applyAlignment="1">
      <alignment horizontal="center"/>
    </xf>
    <xf numFmtId="0" fontId="7" fillId="37" borderId="4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0" fontId="7" fillId="0" borderId="0" xfId="0" applyNumberFormat="1" applyFont="1"/>
    <xf numFmtId="0" fontId="6" fillId="38" borderId="4" xfId="0" applyFont="1" applyFill="1" applyBorder="1" applyAlignment="1">
      <alignment horizontal="center"/>
    </xf>
    <xf numFmtId="0" fontId="6" fillId="38" borderId="22" xfId="0" applyFont="1" applyFill="1" applyBorder="1" applyAlignment="1">
      <alignment horizontal="center"/>
    </xf>
    <xf numFmtId="0" fontId="7" fillId="39" borderId="26" xfId="0" applyFont="1" applyFill="1" applyBorder="1" applyAlignment="1">
      <alignment vertical="center" wrapText="1"/>
    </xf>
    <xf numFmtId="0" fontId="6" fillId="40" borderId="7" xfId="0" applyFont="1" applyFill="1" applyBorder="1" applyAlignment="1">
      <alignment vertical="center" wrapText="1"/>
    </xf>
    <xf numFmtId="0" fontId="7" fillId="15" borderId="7" xfId="0" applyFont="1" applyFill="1" applyBorder="1" applyAlignment="1">
      <alignment vertical="center" wrapText="1"/>
    </xf>
    <xf numFmtId="0" fontId="35" fillId="15" borderId="24" xfId="0" applyFont="1" applyFill="1" applyBorder="1" applyAlignment="1">
      <alignment vertical="center" wrapText="1"/>
    </xf>
    <xf numFmtId="0" fontId="36" fillId="16" borderId="7" xfId="0" applyFont="1" applyFill="1" applyBorder="1" applyAlignment="1">
      <alignment vertical="center" wrapText="1"/>
    </xf>
    <xf numFmtId="0" fontId="36" fillId="41" borderId="1" xfId="0" applyFont="1" applyFill="1" applyBorder="1" applyAlignment="1">
      <alignment vertical="center" wrapText="1"/>
    </xf>
    <xf numFmtId="0" fontId="6" fillId="41" borderId="1" xfId="0" applyFont="1" applyFill="1" applyBorder="1" applyAlignment="1">
      <alignment vertical="center" wrapText="1"/>
    </xf>
    <xf numFmtId="0" fontId="6" fillId="25" borderId="1" xfId="0" applyFont="1" applyFill="1" applyBorder="1" applyAlignment="1">
      <alignment vertical="center" wrapText="1"/>
    </xf>
    <xf numFmtId="0" fontId="6" fillId="25" borderId="5" xfId="0" applyFont="1" applyFill="1" applyBorder="1" applyAlignment="1">
      <alignment vertical="center" wrapText="1"/>
    </xf>
    <xf numFmtId="0" fontId="6" fillId="25" borderId="4" xfId="0" applyFont="1" applyFill="1" applyBorder="1" applyAlignment="1">
      <alignment wrapText="1"/>
    </xf>
    <xf numFmtId="0" fontId="7" fillId="25" borderId="0" xfId="0" applyFont="1" applyFill="1" applyAlignment="1">
      <alignment wrapText="1"/>
    </xf>
    <xf numFmtId="0" fontId="7" fillId="42" borderId="27" xfId="0" applyFont="1" applyFill="1" applyBorder="1" applyAlignment="1">
      <alignment horizontal="center" vertical="center"/>
    </xf>
    <xf numFmtId="8" fontId="7" fillId="42" borderId="4" xfId="0" applyNumberFormat="1" applyFont="1" applyFill="1" applyBorder="1" applyAlignment="1">
      <alignment vertical="center"/>
    </xf>
    <xf numFmtId="0" fontId="7" fillId="42" borderId="4" xfId="0" applyFont="1" applyFill="1" applyBorder="1" applyAlignment="1">
      <alignment horizontal="center" vertical="center"/>
    </xf>
    <xf numFmtId="8" fontId="7" fillId="0" borderId="28" xfId="0" applyNumberFormat="1" applyFont="1" applyBorder="1" applyAlignment="1">
      <alignment wrapText="1"/>
    </xf>
    <xf numFmtId="8" fontId="6" fillId="40" borderId="1" xfId="0" applyNumberFormat="1" applyFont="1" applyFill="1" applyBorder="1" applyAlignment="1">
      <alignment vertical="center" wrapText="1"/>
    </xf>
    <xf numFmtId="8" fontId="7" fillId="0" borderId="1" xfId="0" applyNumberFormat="1" applyFont="1" applyBorder="1" applyAlignment="1">
      <alignment vertical="center" wrapText="1"/>
    </xf>
    <xf numFmtId="8" fontId="35" fillId="17" borderId="12" xfId="0" applyNumberFormat="1" applyFont="1" applyFill="1" applyBorder="1" applyAlignment="1">
      <alignment wrapText="1"/>
    </xf>
    <xf numFmtId="8" fontId="36" fillId="16" borderId="1" xfId="0" applyNumberFormat="1" applyFont="1" applyFill="1" applyBorder="1" applyAlignment="1">
      <alignment wrapText="1"/>
    </xf>
    <xf numFmtId="0" fontId="35" fillId="17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25" borderId="1" xfId="0" applyFont="1" applyFill="1" applyBorder="1" applyAlignment="1">
      <alignment wrapText="1"/>
    </xf>
    <xf numFmtId="0" fontId="6" fillId="25" borderId="8" xfId="0" applyFont="1" applyFill="1" applyBorder="1" applyAlignment="1">
      <alignment vertical="center" wrapText="1"/>
    </xf>
    <xf numFmtId="8" fontId="6" fillId="25" borderId="0" xfId="0" applyNumberFormat="1" applyFont="1" applyFill="1" applyAlignment="1">
      <alignment wrapText="1"/>
    </xf>
    <xf numFmtId="0" fontId="7" fillId="42" borderId="28" xfId="0" applyFont="1" applyFill="1" applyBorder="1" applyAlignment="1">
      <alignment horizontal="center" vertical="center"/>
    </xf>
    <xf numFmtId="8" fontId="7" fillId="42" borderId="26" xfId="0" applyNumberFormat="1" applyFont="1" applyFill="1" applyBorder="1" applyAlignment="1">
      <alignment vertical="center"/>
    </xf>
    <xf numFmtId="0" fontId="7" fillId="0" borderId="28" xfId="0" applyFont="1" applyBorder="1" applyAlignment="1">
      <alignment wrapText="1"/>
    </xf>
    <xf numFmtId="0" fontId="6" fillId="4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5" fillId="17" borderId="12" xfId="0" applyFont="1" applyFill="1" applyBorder="1" applyAlignment="1">
      <alignment wrapText="1"/>
    </xf>
    <xf numFmtId="0" fontId="36" fillId="16" borderId="1" xfId="0" applyFont="1" applyFill="1" applyBorder="1" applyAlignment="1">
      <alignment wrapText="1"/>
    </xf>
    <xf numFmtId="0" fontId="6" fillId="25" borderId="10" xfId="0" applyFont="1" applyFill="1" applyBorder="1" applyAlignment="1">
      <alignment vertical="center" wrapText="1"/>
    </xf>
    <xf numFmtId="8" fontId="7" fillId="42" borderId="28" xfId="0" applyNumberFormat="1" applyFont="1" applyFill="1" applyBorder="1" applyAlignment="1">
      <alignment vertical="center"/>
    </xf>
    <xf numFmtId="0" fontId="7" fillId="0" borderId="28" xfId="0" applyFont="1" applyBorder="1" applyAlignment="1">
      <alignment vertical="center" wrapText="1"/>
    </xf>
    <xf numFmtId="0" fontId="6" fillId="43" borderId="28" xfId="0" applyFont="1" applyFill="1" applyBorder="1" applyAlignment="1">
      <alignment horizontal="center" vertical="center"/>
    </xf>
    <xf numFmtId="8" fontId="6" fillId="43" borderId="28" xfId="0" applyNumberFormat="1" applyFont="1" applyFill="1" applyBorder="1" applyAlignment="1">
      <alignment horizontal="center" vertical="center"/>
    </xf>
    <xf numFmtId="0" fontId="6" fillId="25" borderId="6" xfId="0" applyFont="1" applyFill="1" applyBorder="1" applyAlignment="1">
      <alignment vertical="center" wrapText="1"/>
    </xf>
    <xf numFmtId="8" fontId="7" fillId="44" borderId="4" xfId="0" applyNumberFormat="1" applyFont="1" applyFill="1" applyBorder="1"/>
    <xf numFmtId="0" fontId="7" fillId="0" borderId="20" xfId="0" applyFont="1" applyBorder="1" applyAlignment="1">
      <alignment horizontal="center"/>
    </xf>
    <xf numFmtId="8" fontId="7" fillId="35" borderId="4" xfId="0" applyNumberFormat="1" applyFont="1" applyFill="1" applyBorder="1"/>
    <xf numFmtId="8" fontId="7" fillId="11" borderId="4" xfId="0" applyNumberFormat="1" applyFont="1" applyFill="1" applyBorder="1"/>
    <xf numFmtId="8" fontId="7" fillId="45" borderId="4" xfId="0" applyNumberFormat="1" applyFont="1" applyFill="1" applyBorder="1"/>
    <xf numFmtId="8" fontId="7" fillId="11" borderId="0" xfId="0" applyNumberFormat="1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37" fillId="34" borderId="0" xfId="0" applyFont="1" applyFill="1"/>
    <xf numFmtId="0" fontId="38" fillId="46" borderId="29" xfId="0" applyFont="1" applyFill="1" applyBorder="1" applyAlignment="1">
      <alignment wrapText="1"/>
    </xf>
    <xf numFmtId="0" fontId="38" fillId="46" borderId="30" xfId="0" applyFont="1" applyFill="1" applyBorder="1" applyAlignment="1">
      <alignment wrapText="1"/>
    </xf>
    <xf numFmtId="0" fontId="38" fillId="47" borderId="30" xfId="0" applyFont="1" applyFill="1" applyBorder="1" applyAlignment="1">
      <alignment horizontal="center" wrapText="1"/>
    </xf>
    <xf numFmtId="0" fontId="38" fillId="48" borderId="30" xfId="0" applyFont="1" applyFill="1" applyBorder="1" applyAlignment="1">
      <alignment wrapText="1"/>
    </xf>
    <xf numFmtId="14" fontId="39" fillId="49" borderId="31" xfId="0" applyNumberFormat="1" applyFont="1" applyFill="1" applyBorder="1" applyAlignment="1">
      <alignment horizontal="right" wrapText="1"/>
    </xf>
    <xf numFmtId="0" fontId="39" fillId="49" borderId="32" xfId="0" applyFont="1" applyFill="1" applyBorder="1" applyAlignment="1">
      <alignment wrapText="1"/>
    </xf>
    <xf numFmtId="0" fontId="39" fillId="49" borderId="32" xfId="0" applyFont="1" applyFill="1" applyBorder="1" applyAlignment="1">
      <alignment horizontal="right" wrapText="1"/>
    </xf>
    <xf numFmtId="0" fontId="39" fillId="50" borderId="32" xfId="0" applyFont="1" applyFill="1" applyBorder="1" applyAlignment="1">
      <alignment wrapText="1"/>
    </xf>
    <xf numFmtId="0" fontId="39" fillId="47" borderId="32" xfId="0" applyFont="1" applyFill="1" applyBorder="1" applyAlignment="1">
      <alignment wrapText="1"/>
    </xf>
    <xf numFmtId="0" fontId="39" fillId="48" borderId="32" xfId="0" applyFont="1" applyFill="1" applyBorder="1" applyAlignment="1">
      <alignment wrapText="1"/>
    </xf>
    <xf numFmtId="0" fontId="39" fillId="51" borderId="32" xfId="0" applyFont="1" applyFill="1" applyBorder="1" applyAlignment="1">
      <alignment wrapText="1"/>
    </xf>
    <xf numFmtId="0" fontId="39" fillId="52" borderId="32" xfId="0" applyFont="1" applyFill="1" applyBorder="1" applyAlignment="1">
      <alignment wrapText="1"/>
    </xf>
    <xf numFmtId="0" fontId="39" fillId="47" borderId="32" xfId="0" applyFont="1" applyFill="1" applyBorder="1" applyAlignment="1">
      <alignment horizontal="center" wrapText="1"/>
    </xf>
    <xf numFmtId="0" fontId="39" fillId="53" borderId="32" xfId="0" applyFont="1" applyFill="1" applyBorder="1" applyAlignment="1">
      <alignment wrapText="1"/>
    </xf>
    <xf numFmtId="16" fontId="39" fillId="48" borderId="32" xfId="0" applyNumberFormat="1" applyFont="1" applyFill="1" applyBorder="1" applyAlignment="1">
      <alignment wrapText="1"/>
    </xf>
    <xf numFmtId="14" fontId="39" fillId="49" borderId="33" xfId="0" applyNumberFormat="1" applyFont="1" applyFill="1" applyBorder="1" applyAlignment="1">
      <alignment horizontal="right" wrapText="1"/>
    </xf>
    <xf numFmtId="0" fontId="39" fillId="53" borderId="34" xfId="0" applyFont="1" applyFill="1" applyBorder="1" applyAlignment="1">
      <alignment wrapText="1"/>
    </xf>
    <xf numFmtId="0" fontId="39" fillId="49" borderId="34" xfId="0" applyFont="1" applyFill="1" applyBorder="1" applyAlignment="1">
      <alignment wrapText="1"/>
    </xf>
    <xf numFmtId="0" fontId="39" fillId="49" borderId="34" xfId="0" applyFont="1" applyFill="1" applyBorder="1" applyAlignment="1">
      <alignment horizontal="right" wrapText="1"/>
    </xf>
    <xf numFmtId="0" fontId="39" fillId="49" borderId="35" xfId="0" applyFont="1" applyFill="1" applyBorder="1" applyAlignment="1">
      <alignment vertical="center"/>
    </xf>
    <xf numFmtId="0" fontId="39" fillId="52" borderId="34" xfId="0" applyFont="1" applyFill="1" applyBorder="1" applyAlignment="1">
      <alignment wrapText="1"/>
    </xf>
    <xf numFmtId="0" fontId="39" fillId="47" borderId="34" xfId="0" applyFont="1" applyFill="1" applyBorder="1" applyAlignment="1">
      <alignment wrapText="1"/>
    </xf>
    <xf numFmtId="0" fontId="39" fillId="48" borderId="34" xfId="0" applyFont="1" applyFill="1" applyBorder="1" applyAlignment="1">
      <alignment wrapText="1"/>
    </xf>
    <xf numFmtId="0" fontId="33" fillId="2" borderId="0" xfId="0" applyFont="1" applyFill="1" applyAlignment="1">
      <alignment horizontal="center"/>
    </xf>
    <xf numFmtId="0" fontId="8" fillId="21" borderId="19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9" xfId="0" applyFont="1" applyBorder="1"/>
    <xf numFmtId="0" fontId="2" fillId="26" borderId="5" xfId="0" applyFont="1" applyFill="1" applyBorder="1" applyAlignment="1">
      <alignment horizontal="center"/>
    </xf>
    <xf numFmtId="0" fontId="2" fillId="26" borderId="17" xfId="0" applyFont="1" applyFill="1" applyBorder="1" applyAlignment="1">
      <alignment horizontal="center"/>
    </xf>
    <xf numFmtId="0" fontId="2" fillId="26" borderId="2" xfId="0" applyFont="1" applyFill="1" applyBorder="1" applyAlignment="1">
      <alignment horizontal="center"/>
    </xf>
    <xf numFmtId="0" fontId="2" fillId="25" borderId="0" xfId="0" applyFont="1" applyFill="1" applyAlignment="1">
      <alignment horizontal="center" vertical="center" wrapText="1"/>
    </xf>
    <xf numFmtId="0" fontId="2" fillId="25" borderId="19" xfId="0" applyFont="1" applyFill="1" applyBorder="1" applyAlignment="1">
      <alignment horizontal="center" vertical="center" wrapText="1"/>
    </xf>
    <xf numFmtId="0" fontId="2" fillId="0" borderId="0" xfId="0" applyFont="1"/>
    <xf numFmtId="0" fontId="38" fillId="0" borderId="36" xfId="0" applyFont="1" applyBorder="1" applyAlignment="1">
      <alignment wrapText="1"/>
    </xf>
    <xf numFmtId="0" fontId="38" fillId="50" borderId="36" xfId="0" applyFont="1" applyFill="1" applyBorder="1" applyAlignment="1">
      <alignment horizontal="center" wrapText="1"/>
    </xf>
    <xf numFmtId="22" fontId="39" fillId="51" borderId="31" xfId="0" applyNumberFormat="1" applyFont="1" applyFill="1" applyBorder="1" applyAlignment="1">
      <alignment horizontal="right" wrapText="1"/>
    </xf>
    <xf numFmtId="0" fontId="39" fillId="51" borderId="32" xfId="0" applyFont="1" applyFill="1" applyBorder="1" applyAlignment="1">
      <alignment horizontal="right" wrapText="1"/>
    </xf>
    <xf numFmtId="6" fontId="39" fillId="50" borderId="32" xfId="0" applyNumberFormat="1" applyFont="1" applyFill="1" applyBorder="1" applyAlignment="1">
      <alignment horizontal="right" wrapText="1"/>
    </xf>
    <xf numFmtId="0" fontId="39" fillId="50" borderId="32" xfId="0" applyFont="1" applyFill="1" applyBorder="1" applyAlignment="1">
      <alignment horizontal="right" wrapText="1"/>
    </xf>
    <xf numFmtId="0" fontId="39" fillId="50" borderId="32" xfId="0" applyFont="1" applyFill="1" applyBorder="1" applyAlignment="1">
      <alignment horizontal="center" wrapText="1"/>
    </xf>
    <xf numFmtId="22" fontId="39" fillId="54" borderId="31" xfId="0" applyNumberFormat="1" applyFont="1" applyFill="1" applyBorder="1" applyAlignment="1">
      <alignment horizontal="right" wrapText="1"/>
    </xf>
    <xf numFmtId="0" fontId="39" fillId="54" borderId="32" xfId="0" applyFont="1" applyFill="1" applyBorder="1" applyAlignment="1">
      <alignment wrapText="1"/>
    </xf>
    <xf numFmtId="0" fontId="39" fillId="54" borderId="32" xfId="0" applyFont="1" applyFill="1" applyBorder="1" applyAlignment="1">
      <alignment horizontal="right" wrapText="1"/>
    </xf>
    <xf numFmtId="22" fontId="39" fillId="55" borderId="31" xfId="0" applyNumberFormat="1" applyFont="1" applyFill="1" applyBorder="1" applyAlignment="1">
      <alignment horizontal="right" wrapText="1"/>
    </xf>
    <xf numFmtId="0" fontId="39" fillId="55" borderId="32" xfId="0" applyFont="1" applyFill="1" applyBorder="1" applyAlignment="1">
      <alignment wrapText="1"/>
    </xf>
    <xf numFmtId="0" fontId="39" fillId="55" borderId="32" xfId="0" applyFont="1" applyFill="1" applyBorder="1" applyAlignment="1">
      <alignment horizontal="right" wrapText="1"/>
    </xf>
    <xf numFmtId="0" fontId="40" fillId="0" borderId="29" xfId="0" applyFont="1" applyBorder="1" applyAlignment="1">
      <alignment vertical="center" wrapText="1"/>
    </xf>
    <xf numFmtId="0" fontId="40" fillId="54" borderId="30" xfId="0" applyFont="1" applyFill="1" applyBorder="1" applyAlignment="1">
      <alignment horizontal="center" vertical="center" wrapText="1"/>
    </xf>
    <xf numFmtId="0" fontId="40" fillId="57" borderId="30" xfId="0" applyFont="1" applyFill="1" applyBorder="1" applyAlignment="1">
      <alignment horizontal="center" vertical="center" wrapText="1"/>
    </xf>
    <xf numFmtId="0" fontId="40" fillId="58" borderId="30" xfId="0" applyFont="1" applyFill="1" applyBorder="1" applyAlignment="1">
      <alignment horizontal="center" vertical="center" wrapText="1"/>
    </xf>
    <xf numFmtId="0" fontId="41" fillId="59" borderId="30" xfId="0" applyFont="1" applyFill="1" applyBorder="1" applyAlignment="1">
      <alignment horizontal="center" vertical="center" wrapText="1"/>
    </xf>
    <xf numFmtId="0" fontId="38" fillId="60" borderId="30" xfId="0" applyFont="1" applyFill="1" applyBorder="1" applyAlignment="1">
      <alignment horizontal="center" vertical="center" wrapText="1"/>
    </xf>
    <xf numFmtId="0" fontId="42" fillId="0" borderId="31" xfId="0" applyFont="1" applyBorder="1" applyAlignment="1">
      <alignment vertical="center" wrapText="1"/>
    </xf>
    <xf numFmtId="0" fontId="39" fillId="0" borderId="32" xfId="0" applyFont="1" applyBorder="1" applyAlignment="1">
      <alignment wrapText="1"/>
    </xf>
    <xf numFmtId="0" fontId="42" fillId="47" borderId="31" xfId="0" applyFont="1" applyFill="1" applyBorder="1" applyAlignment="1">
      <alignment vertical="center" wrapText="1"/>
    </xf>
    <xf numFmtId="6" fontId="42" fillId="47" borderId="32" xfId="0" applyNumberFormat="1" applyFont="1" applyFill="1" applyBorder="1" applyAlignment="1">
      <alignment horizontal="right" vertical="center" wrapText="1"/>
    </xf>
    <xf numFmtId="0" fontId="42" fillId="47" borderId="31" xfId="0" applyFont="1" applyFill="1" applyBorder="1" applyAlignment="1">
      <alignment wrapText="1"/>
    </xf>
    <xf numFmtId="0" fontId="40" fillId="61" borderId="31" xfId="0" applyFont="1" applyFill="1" applyBorder="1" applyAlignment="1">
      <alignment wrapText="1"/>
    </xf>
    <xf numFmtId="6" fontId="42" fillId="61" borderId="32" xfId="0" applyNumberFormat="1" applyFont="1" applyFill="1" applyBorder="1" applyAlignment="1">
      <alignment horizontal="right" vertical="center" wrapText="1"/>
    </xf>
    <xf numFmtId="6" fontId="42" fillId="62" borderId="32" xfId="0" applyNumberFormat="1" applyFont="1" applyFill="1" applyBorder="1" applyAlignment="1">
      <alignment horizontal="right" vertical="center" wrapText="1"/>
    </xf>
    <xf numFmtId="0" fontId="40" fillId="0" borderId="31" xfId="0" applyFont="1" applyBorder="1" applyAlignment="1">
      <alignment wrapText="1"/>
    </xf>
    <xf numFmtId="6" fontId="42" fillId="0" borderId="32" xfId="0" applyNumberFormat="1" applyFont="1" applyBorder="1" applyAlignment="1">
      <alignment horizontal="right" vertical="center" wrapText="1"/>
    </xf>
    <xf numFmtId="0" fontId="39" fillId="0" borderId="31" xfId="0" applyFont="1" applyBorder="1" applyAlignment="1">
      <alignment wrapText="1"/>
    </xf>
    <xf numFmtId="6" fontId="39" fillId="0" borderId="32" xfId="0" applyNumberFormat="1" applyFont="1" applyBorder="1" applyAlignment="1">
      <alignment horizontal="right" wrapText="1"/>
    </xf>
    <xf numFmtId="0" fontId="39" fillId="0" borderId="32" xfId="0" applyFont="1" applyBorder="1" applyAlignment="1">
      <alignment horizontal="right" wrapText="1"/>
    </xf>
    <xf numFmtId="0" fontId="39" fillId="0" borderId="37" xfId="0" applyFont="1" applyBorder="1" applyAlignment="1">
      <alignment wrapText="1"/>
    </xf>
    <xf numFmtId="0" fontId="39" fillId="0" borderId="38" xfId="0" applyFont="1" applyBorder="1" applyAlignment="1">
      <alignment wrapText="1"/>
    </xf>
    <xf numFmtId="0" fontId="42" fillId="0" borderId="39" xfId="0" applyFont="1" applyBorder="1" applyAlignment="1">
      <alignment horizontal="center" vertical="center" wrapText="1"/>
    </xf>
    <xf numFmtId="0" fontId="42" fillId="0" borderId="40" xfId="0" applyFont="1" applyBorder="1" applyAlignment="1">
      <alignment horizontal="center" vertical="center" wrapText="1"/>
    </xf>
    <xf numFmtId="0" fontId="38" fillId="53" borderId="39" xfId="0" applyFont="1" applyFill="1" applyBorder="1" applyAlignment="1">
      <alignment horizontal="center" wrapText="1"/>
    </xf>
    <xf numFmtId="0" fontId="38" fillId="53" borderId="41" xfId="0" applyFont="1" applyFill="1" applyBorder="1" applyAlignment="1">
      <alignment horizontal="center" wrapText="1"/>
    </xf>
    <xf numFmtId="0" fontId="38" fillId="53" borderId="40" xfId="0" applyFont="1" applyFill="1" applyBorder="1" applyAlignment="1">
      <alignment horizontal="center" wrapText="1"/>
    </xf>
    <xf numFmtId="0" fontId="43" fillId="63" borderId="39" xfId="0" applyFont="1" applyFill="1" applyBorder="1" applyAlignment="1">
      <alignment horizontal="center" wrapText="1"/>
    </xf>
    <xf numFmtId="0" fontId="43" fillId="63" borderId="41" xfId="0" applyFont="1" applyFill="1" applyBorder="1" applyAlignment="1">
      <alignment horizontal="center" wrapText="1"/>
    </xf>
    <xf numFmtId="0" fontId="43" fillId="63" borderId="40" xfId="0" applyFont="1" applyFill="1" applyBorder="1" applyAlignment="1">
      <alignment horizontal="center" wrapText="1"/>
    </xf>
    <xf numFmtId="0" fontId="40" fillId="64" borderId="30" xfId="0" applyFont="1" applyFill="1" applyBorder="1" applyAlignment="1">
      <alignment horizontal="center" vertical="center" wrapText="1"/>
    </xf>
    <xf numFmtId="14" fontId="42" fillId="64" borderId="39" xfId="0" applyNumberFormat="1" applyFont="1" applyFill="1" applyBorder="1" applyAlignment="1">
      <alignment horizontal="center" vertical="center" wrapText="1"/>
    </xf>
    <xf numFmtId="14" fontId="42" fillId="64" borderId="40" xfId="0" applyNumberFormat="1" applyFont="1" applyFill="1" applyBorder="1" applyAlignment="1">
      <alignment horizontal="center" vertical="center" wrapText="1"/>
    </xf>
    <xf numFmtId="6" fontId="42" fillId="64" borderId="32" xfId="0" applyNumberFormat="1" applyFont="1" applyFill="1" applyBorder="1" applyAlignment="1">
      <alignment horizontal="right" vertical="center" wrapText="1"/>
    </xf>
    <xf numFmtId="6" fontId="39" fillId="64" borderId="32" xfId="0" applyNumberFormat="1" applyFont="1" applyFill="1" applyBorder="1" applyAlignment="1">
      <alignment horizontal="right" wrapText="1"/>
    </xf>
    <xf numFmtId="0" fontId="40" fillId="0" borderId="29" xfId="0" applyFont="1" applyBorder="1" applyAlignment="1">
      <alignment wrapText="1"/>
    </xf>
    <xf numFmtId="0" fontId="40" fillId="56" borderId="30" xfId="0" applyFont="1" applyFill="1" applyBorder="1" applyAlignment="1">
      <alignment horizontal="center" wrapText="1"/>
    </xf>
    <xf numFmtId="0" fontId="40" fillId="50" borderId="30" xfId="0" applyFont="1" applyFill="1" applyBorder="1" applyAlignment="1">
      <alignment horizontal="center" wrapText="1"/>
    </xf>
    <xf numFmtId="0" fontId="42" fillId="0" borderId="31" xfId="0" applyFont="1" applyBorder="1" applyAlignment="1">
      <alignment wrapText="1"/>
    </xf>
    <xf numFmtId="6" fontId="42" fillId="56" borderId="32" xfId="0" applyNumberFormat="1" applyFont="1" applyFill="1" applyBorder="1" applyAlignment="1">
      <alignment horizontal="right" wrapText="1"/>
    </xf>
    <xf numFmtId="6" fontId="42" fillId="50" borderId="32" xfId="0" applyNumberFormat="1" applyFont="1" applyFill="1" applyBorder="1" applyAlignment="1">
      <alignment horizontal="right" wrapText="1"/>
    </xf>
    <xf numFmtId="0" fontId="39" fillId="0" borderId="36" xfId="0" applyFont="1" applyBorder="1" applyAlignment="1">
      <alignment wrapText="1"/>
    </xf>
    <xf numFmtId="0" fontId="42" fillId="58" borderId="31" xfId="0" applyFont="1" applyFill="1" applyBorder="1" applyAlignment="1">
      <alignment wrapText="1"/>
    </xf>
    <xf numFmtId="0" fontId="42" fillId="56" borderId="32" xfId="0" applyFont="1" applyFill="1" applyBorder="1" applyAlignment="1">
      <alignment horizontal="right" wrapText="1"/>
    </xf>
    <xf numFmtId="6" fontId="42" fillId="58" borderId="32" xfId="0" applyNumberFormat="1" applyFont="1" applyFill="1" applyBorder="1" applyAlignment="1">
      <alignment horizontal="right" wrapText="1"/>
    </xf>
    <xf numFmtId="6" fontId="39" fillId="0" borderId="37" xfId="0" applyNumberFormat="1" applyFont="1" applyBorder="1" applyAlignment="1">
      <alignment horizontal="right" wrapText="1"/>
    </xf>
    <xf numFmtId="6" fontId="40" fillId="58" borderId="32" xfId="0" applyNumberFormat="1" applyFont="1" applyFill="1" applyBorder="1" applyAlignment="1">
      <alignment horizontal="right" wrapText="1"/>
    </xf>
    <xf numFmtId="0" fontId="42" fillId="50" borderId="31" xfId="0" applyFont="1" applyFill="1" applyBorder="1" applyAlignment="1">
      <alignment wrapText="1"/>
    </xf>
    <xf numFmtId="0" fontId="38" fillId="0" borderId="31" xfId="0" applyFont="1" applyBorder="1" applyAlignment="1">
      <alignment vertical="center" wrapText="1"/>
    </xf>
    <xf numFmtId="0" fontId="38" fillId="65" borderId="32" xfId="0" applyFont="1" applyFill="1" applyBorder="1" applyAlignment="1">
      <alignment horizontal="center" vertical="center" wrapText="1"/>
    </xf>
    <xf numFmtId="0" fontId="39" fillId="48" borderId="37" xfId="0" applyFont="1" applyFill="1" applyBorder="1" applyAlignment="1">
      <alignment wrapText="1"/>
    </xf>
    <xf numFmtId="0" fontId="39" fillId="50" borderId="37" xfId="0" applyFont="1" applyFill="1" applyBorder="1" applyAlignment="1">
      <alignment wrapText="1"/>
    </xf>
    <xf numFmtId="0" fontId="39" fillId="0" borderId="31" xfId="0" applyFont="1" applyBorder="1" applyAlignment="1">
      <alignment vertical="center" wrapText="1"/>
    </xf>
    <xf numFmtId="0" fontId="38" fillId="61" borderId="31" xfId="0" applyFont="1" applyFill="1" applyBorder="1" applyAlignment="1">
      <alignment wrapText="1"/>
    </xf>
    <xf numFmtId="6" fontId="39" fillId="61" borderId="32" xfId="0" applyNumberFormat="1" applyFont="1" applyFill="1" applyBorder="1" applyAlignment="1">
      <alignment horizontal="right" vertical="center" wrapText="1"/>
    </xf>
    <xf numFmtId="0" fontId="38" fillId="0" borderId="31" xfId="0" applyFont="1" applyBorder="1" applyAlignment="1">
      <alignment wrapText="1"/>
    </xf>
    <xf numFmtId="6" fontId="39" fillId="0" borderId="32" xfId="0" applyNumberFormat="1" applyFont="1" applyBorder="1" applyAlignment="1">
      <alignment horizontal="right" vertical="center" wrapText="1"/>
    </xf>
    <xf numFmtId="0" fontId="38" fillId="54" borderId="32" xfId="0" applyFont="1" applyFill="1" applyBorder="1" applyAlignment="1">
      <alignment horizontal="center" vertical="center" wrapText="1"/>
    </xf>
    <xf numFmtId="0" fontId="38" fillId="63" borderId="32" xfId="0" applyFont="1" applyFill="1" applyBorder="1" applyAlignment="1">
      <alignment horizontal="center" vertical="center" wrapText="1"/>
    </xf>
    <xf numFmtId="0" fontId="39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9" fillId="63" borderId="37" xfId="0" applyFont="1" applyFill="1" applyBorder="1" applyAlignment="1">
      <alignment wrapText="1"/>
    </xf>
    <xf numFmtId="0" fontId="39" fillId="0" borderId="39" xfId="0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44" fillId="0" borderId="0" xfId="0" applyFont="1"/>
    <xf numFmtId="0" fontId="45" fillId="0" borderId="0" xfId="0" applyFont="1"/>
    <xf numFmtId="0" fontId="44" fillId="11" borderId="4" xfId="0" applyFont="1" applyFill="1" applyBorder="1" applyAlignment="1">
      <alignment horizontal="center"/>
    </xf>
    <xf numFmtId="0" fontId="46" fillId="0" borderId="0" xfId="0" applyFont="1"/>
    <xf numFmtId="0" fontId="46" fillId="11" borderId="4" xfId="0" applyFont="1" applyFill="1" applyBorder="1" applyAlignment="1">
      <alignment horizontal="center"/>
    </xf>
    <xf numFmtId="0" fontId="36" fillId="0" borderId="0" xfId="0" applyFont="1"/>
    <xf numFmtId="0" fontId="46" fillId="0" borderId="5" xfId="0" applyFont="1" applyBorder="1"/>
    <xf numFmtId="0" fontId="46" fillId="0" borderId="17" xfId="0" applyFont="1" applyBorder="1"/>
    <xf numFmtId="0" fontId="46" fillId="0" borderId="4" xfId="0" applyFont="1" applyBorder="1"/>
    <xf numFmtId="0" fontId="44" fillId="0" borderId="12" xfId="0" applyFont="1" applyBorder="1"/>
    <xf numFmtId="0" fontId="44" fillId="0" borderId="4" xfId="0" applyFont="1" applyBorder="1"/>
    <xf numFmtId="0" fontId="46" fillId="0" borderId="1" xfId="0" applyFont="1" applyBorder="1"/>
    <xf numFmtId="8" fontId="46" fillId="0" borderId="4" xfId="0" applyNumberFormat="1" applyFont="1" applyBorder="1"/>
    <xf numFmtId="0" fontId="44" fillId="0" borderId="24" xfId="0" applyFont="1" applyBorder="1"/>
    <xf numFmtId="0" fontId="46" fillId="0" borderId="7" xfId="0" applyFont="1" applyBorder="1"/>
    <xf numFmtId="8" fontId="46" fillId="0" borderId="1" xfId="0" applyNumberFormat="1" applyFont="1" applyBorder="1"/>
    <xf numFmtId="0" fontId="35" fillId="66" borderId="0" xfId="0" applyFont="1" applyFill="1" applyAlignment="1">
      <alignment horizontal="right"/>
    </xf>
    <xf numFmtId="8" fontId="1" fillId="66" borderId="0" xfId="0" applyNumberFormat="1" applyFont="1" applyFill="1"/>
    <xf numFmtId="10" fontId="1" fillId="0" borderId="0" xfId="0" applyNumberFormat="1" applyFont="1"/>
    <xf numFmtId="8" fontId="1" fillId="0" borderId="0" xfId="0" applyNumberFormat="1" applyFont="1"/>
    <xf numFmtId="0" fontId="1" fillId="66" borderId="0" xfId="0" applyFont="1" applyFill="1"/>
    <xf numFmtId="8" fontId="7" fillId="66" borderId="0" xfId="0" applyNumberFormat="1" applyFont="1" applyFill="1"/>
    <xf numFmtId="0" fontId="7" fillId="66" borderId="0" xfId="0" applyFont="1" applyFill="1"/>
    <xf numFmtId="0" fontId="35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4" fillId="0" borderId="0" xfId="0" applyFont="1"/>
    <xf numFmtId="8" fontId="46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8" fontId="6" fillId="2" borderId="0" xfId="0" applyNumberFormat="1" applyFont="1" applyFill="1" applyAlignment="1">
      <alignment horizontal="center"/>
    </xf>
    <xf numFmtId="8" fontId="46" fillId="2" borderId="0" xfId="0" applyNumberFormat="1" applyFont="1" applyFill="1"/>
    <xf numFmtId="0" fontId="5" fillId="2" borderId="0" xfId="0" applyFont="1" applyFill="1"/>
    <xf numFmtId="8" fontId="46" fillId="66" borderId="1" xfId="0" applyNumberFormat="1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8" fontId="5" fillId="66" borderId="1" xfId="0" applyNumberFormat="1" applyFont="1" applyFill="1" applyBorder="1"/>
    <xf numFmtId="0" fontId="5" fillId="66" borderId="1" xfId="0" applyFont="1" applyFill="1" applyBorder="1"/>
    <xf numFmtId="8" fontId="46" fillId="16" borderId="0" xfId="0" applyNumberFormat="1" applyFont="1" applyFill="1" applyAlignment="1">
      <alignment horizontal="center"/>
    </xf>
    <xf numFmtId="8" fontId="46" fillId="15" borderId="0" xfId="0" applyNumberFormat="1" applyFont="1" applyFill="1"/>
    <xf numFmtId="0" fontId="46" fillId="15" borderId="0" xfId="0" applyFont="1" applyFill="1"/>
    <xf numFmtId="0" fontId="46" fillId="66" borderId="0" xfId="0" applyFont="1" applyFill="1"/>
    <xf numFmtId="0" fontId="46" fillId="25" borderId="0" xfId="0" applyFont="1" applyFill="1"/>
    <xf numFmtId="0" fontId="44" fillId="0" borderId="1" xfId="0" applyFont="1" applyBorder="1"/>
    <xf numFmtId="0" fontId="44" fillId="0" borderId="5" xfId="0" applyFont="1" applyBorder="1"/>
    <xf numFmtId="0" fontId="46" fillId="0" borderId="42" xfId="0" applyFont="1" applyBorder="1"/>
    <xf numFmtId="0" fontId="46" fillId="10" borderId="3" xfId="0" applyFont="1" applyFill="1" applyBorder="1" applyAlignment="1">
      <alignment horizontal="center"/>
    </xf>
    <xf numFmtId="0" fontId="46" fillId="10" borderId="3" xfId="0" applyFont="1" applyFill="1" applyBorder="1" applyAlignment="1">
      <alignment horizontal="center" vertical="center"/>
    </xf>
    <xf numFmtId="0" fontId="46" fillId="10" borderId="3" xfId="0" applyFont="1" applyFill="1" applyBorder="1" applyAlignment="1">
      <alignment horizontal="center" vertical="center" wrapText="1"/>
    </xf>
    <xf numFmtId="0" fontId="46" fillId="67" borderId="3" xfId="0" applyFont="1" applyFill="1" applyBorder="1" applyAlignment="1">
      <alignment horizontal="center" vertical="center"/>
    </xf>
    <xf numFmtId="0" fontId="46" fillId="67" borderId="3" xfId="0" applyFont="1" applyFill="1" applyBorder="1" applyAlignment="1">
      <alignment horizontal="center" vertical="center" wrapText="1"/>
    </xf>
    <xf numFmtId="0" fontId="46" fillId="10" borderId="14" xfId="0" applyFont="1" applyFill="1" applyBorder="1" applyAlignment="1">
      <alignment horizontal="center" vertical="center"/>
    </xf>
    <xf numFmtId="0" fontId="46" fillId="10" borderId="4" xfId="0" applyFont="1" applyFill="1" applyBorder="1" applyAlignment="1">
      <alignment horizontal="center" vertical="center"/>
    </xf>
    <xf numFmtId="0" fontId="46" fillId="10" borderId="6" xfId="0" applyFont="1" applyFill="1" applyBorder="1" applyAlignment="1">
      <alignment horizontal="center" vertical="center"/>
    </xf>
    <xf numFmtId="0" fontId="46" fillId="10" borderId="20" xfId="0" applyFont="1" applyFill="1" applyBorder="1" applyAlignment="1">
      <alignment horizontal="center" vertical="center"/>
    </xf>
    <xf numFmtId="14" fontId="44" fillId="2" borderId="4" xfId="0" applyNumberFormat="1" applyFont="1" applyFill="1" applyBorder="1"/>
    <xf numFmtId="0" fontId="7" fillId="0" borderId="4" xfId="0" applyFont="1" applyBorder="1" applyAlignment="1">
      <alignment vertical="center" wrapText="1"/>
    </xf>
    <xf numFmtId="8" fontId="44" fillId="0" borderId="4" xfId="0" applyNumberFormat="1" applyFont="1" applyBorder="1"/>
    <xf numFmtId="0" fontId="44" fillId="0" borderId="20" xfId="0" applyFont="1" applyBorder="1"/>
    <xf numFmtId="0" fontId="47" fillId="0" borderId="4" xfId="0" applyFont="1" applyBorder="1"/>
    <xf numFmtId="0" fontId="44" fillId="0" borderId="6" xfId="0" applyFont="1" applyBorder="1"/>
    <xf numFmtId="0" fontId="44" fillId="0" borderId="0" xfId="0" applyFont="1"/>
    <xf numFmtId="0" fontId="44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672A-9441-47A3-871D-2560640DF80B}">
  <dimension ref="A1:AB167"/>
  <sheetViews>
    <sheetView topLeftCell="A73" workbookViewId="0">
      <selection activeCell="F42" sqref="F42"/>
    </sheetView>
  </sheetViews>
  <sheetFormatPr baseColWidth="10" defaultRowHeight="15"/>
  <cols>
    <col min="2" max="2" width="35" bestFit="1" customWidth="1"/>
  </cols>
  <sheetData>
    <row r="1" spans="1:28" ht="45">
      <c r="A1" s="1" t="s">
        <v>0</v>
      </c>
      <c r="B1" s="3"/>
      <c r="C1" s="5"/>
      <c r="D1" s="3"/>
      <c r="E1" s="6" t="s">
        <v>1</v>
      </c>
      <c r="F1" s="3"/>
      <c r="G1" s="7" t="s">
        <v>2</v>
      </c>
      <c r="H1" s="3"/>
      <c r="I1" s="7" t="s">
        <v>3</v>
      </c>
      <c r="J1" s="3"/>
      <c r="K1" s="7" t="s">
        <v>4</v>
      </c>
      <c r="L1" s="3"/>
      <c r="M1" s="8" t="s">
        <v>5</v>
      </c>
      <c r="N1" s="3"/>
      <c r="O1" s="7" t="s">
        <v>6</v>
      </c>
      <c r="P1" s="3"/>
      <c r="Q1" s="7" t="s">
        <v>7</v>
      </c>
      <c r="R1" s="3"/>
      <c r="S1" s="7" t="s">
        <v>8</v>
      </c>
      <c r="T1" s="3"/>
      <c r="U1" s="8" t="s">
        <v>9</v>
      </c>
      <c r="V1" s="3"/>
      <c r="W1" s="7" t="s">
        <v>10</v>
      </c>
      <c r="X1" s="3"/>
      <c r="Y1" s="8" t="s">
        <v>5</v>
      </c>
      <c r="Z1" s="3"/>
      <c r="AA1" s="8" t="s">
        <v>11</v>
      </c>
      <c r="AB1" s="3"/>
    </row>
    <row r="2" spans="1:28" ht="30">
      <c r="A2" s="9" t="s">
        <v>12</v>
      </c>
      <c r="B2" s="9"/>
      <c r="C2" s="11" t="s">
        <v>13</v>
      </c>
      <c r="D2" s="12" t="s">
        <v>14</v>
      </c>
      <c r="E2" s="13" t="s">
        <v>15</v>
      </c>
      <c r="F2" s="14" t="s">
        <v>16</v>
      </c>
      <c r="G2" s="13" t="s">
        <v>17</v>
      </c>
      <c r="H2" s="14" t="s">
        <v>18</v>
      </c>
      <c r="I2" s="13" t="s">
        <v>19</v>
      </c>
      <c r="J2" s="14" t="s">
        <v>20</v>
      </c>
      <c r="K2" s="13" t="s">
        <v>21</v>
      </c>
      <c r="L2" s="14" t="s">
        <v>22</v>
      </c>
      <c r="M2" s="13" t="s">
        <v>23</v>
      </c>
      <c r="N2" s="14" t="s">
        <v>24</v>
      </c>
      <c r="O2" s="13" t="s">
        <v>25</v>
      </c>
      <c r="P2" s="14" t="s">
        <v>26</v>
      </c>
      <c r="Q2" s="13" t="s">
        <v>27</v>
      </c>
      <c r="R2" s="14" t="s">
        <v>28</v>
      </c>
      <c r="S2" s="13" t="s">
        <v>29</v>
      </c>
      <c r="T2" s="14" t="s">
        <v>30</v>
      </c>
      <c r="U2" s="13" t="s">
        <v>31</v>
      </c>
      <c r="V2" s="14" t="s">
        <v>32</v>
      </c>
      <c r="W2" s="13" t="s">
        <v>33</v>
      </c>
      <c r="X2" s="14" t="s">
        <v>34</v>
      </c>
      <c r="Y2" s="13" t="s">
        <v>35</v>
      </c>
      <c r="Z2" s="14" t="s">
        <v>36</v>
      </c>
      <c r="AA2" s="13" t="s">
        <v>37</v>
      </c>
      <c r="AB2" s="14" t="s">
        <v>38</v>
      </c>
    </row>
    <row r="3" spans="1:28">
      <c r="A3" s="15" t="s">
        <v>39</v>
      </c>
      <c r="B3" s="15" t="s">
        <v>40</v>
      </c>
      <c r="C3" s="16" t="s">
        <v>41</v>
      </c>
      <c r="D3" s="17" t="s">
        <v>42</v>
      </c>
      <c r="E3" s="18"/>
      <c r="F3" s="19"/>
      <c r="G3" s="20"/>
      <c r="H3" s="19"/>
      <c r="I3" s="18"/>
      <c r="J3" s="21"/>
      <c r="K3" s="18"/>
      <c r="L3" s="19"/>
      <c r="M3" s="18"/>
      <c r="N3" s="19"/>
      <c r="O3" s="18"/>
      <c r="P3" s="2"/>
      <c r="Q3" s="18"/>
      <c r="R3" s="19"/>
      <c r="S3" s="18"/>
      <c r="T3" s="19"/>
      <c r="U3" s="18"/>
      <c r="V3" s="19"/>
      <c r="W3" s="18"/>
      <c r="X3" s="19"/>
      <c r="Y3" s="18"/>
      <c r="Z3" s="19"/>
      <c r="AA3" s="18"/>
      <c r="AB3" s="19"/>
    </row>
    <row r="4" spans="1:28">
      <c r="A4" s="15" t="s">
        <v>39</v>
      </c>
      <c r="B4" s="15" t="s">
        <v>43</v>
      </c>
      <c r="C4" s="16" t="s">
        <v>41</v>
      </c>
      <c r="D4" s="17" t="s">
        <v>42</v>
      </c>
      <c r="E4" s="18"/>
      <c r="F4" s="2"/>
      <c r="G4" s="22"/>
      <c r="H4" s="23"/>
      <c r="I4" s="18"/>
      <c r="J4" s="19"/>
      <c r="K4" s="18"/>
      <c r="L4" s="19"/>
      <c r="M4" s="18"/>
      <c r="N4" s="19"/>
      <c r="O4" s="18"/>
      <c r="P4" s="24"/>
      <c r="Q4" s="25"/>
      <c r="R4" s="19"/>
      <c r="S4" s="25"/>
      <c r="T4" s="19"/>
      <c r="U4" s="25"/>
      <c r="V4" s="19"/>
      <c r="W4" s="25"/>
      <c r="X4" s="19"/>
      <c r="Y4" s="25"/>
      <c r="Z4" s="19"/>
      <c r="AA4" s="25"/>
      <c r="AB4" s="19"/>
    </row>
    <row r="5" spans="1:28">
      <c r="A5" s="15" t="s">
        <v>39</v>
      </c>
      <c r="B5" s="15" t="s">
        <v>44</v>
      </c>
      <c r="C5" s="16" t="s">
        <v>41</v>
      </c>
      <c r="D5" s="17" t="s">
        <v>42</v>
      </c>
      <c r="E5" s="18"/>
      <c r="F5" s="26"/>
      <c r="G5" s="22"/>
      <c r="H5" s="23"/>
      <c r="I5" s="18"/>
      <c r="J5" s="19"/>
      <c r="K5" s="18"/>
      <c r="L5" s="19"/>
      <c r="M5" s="18"/>
      <c r="N5" s="19"/>
      <c r="O5" s="27"/>
      <c r="P5" s="28"/>
      <c r="Q5" s="22"/>
      <c r="R5" s="23"/>
      <c r="S5" s="18"/>
      <c r="T5" s="19"/>
      <c r="U5" s="18"/>
      <c r="V5" s="19"/>
      <c r="W5" s="18"/>
      <c r="X5" s="19"/>
      <c r="Y5" s="18"/>
      <c r="Z5" s="19"/>
      <c r="AA5" s="18"/>
      <c r="AB5" s="19"/>
    </row>
    <row r="6" spans="1:28">
      <c r="A6" s="15" t="s">
        <v>39</v>
      </c>
      <c r="B6" s="15" t="s">
        <v>45</v>
      </c>
      <c r="C6" s="16" t="s">
        <v>41</v>
      </c>
      <c r="D6" s="17" t="s">
        <v>42</v>
      </c>
      <c r="E6" s="18"/>
      <c r="F6" s="26"/>
      <c r="G6" s="22"/>
      <c r="H6" s="23"/>
      <c r="I6" s="18"/>
      <c r="J6" s="19"/>
      <c r="K6" s="18"/>
      <c r="L6" s="19"/>
      <c r="M6" s="18"/>
      <c r="N6" s="19"/>
      <c r="O6" s="27"/>
      <c r="P6" s="28"/>
      <c r="Q6" s="22"/>
      <c r="R6" s="23"/>
      <c r="S6" s="18"/>
      <c r="T6" s="19"/>
      <c r="U6" s="18"/>
      <c r="V6" s="19"/>
      <c r="W6" s="18"/>
      <c r="X6" s="19"/>
      <c r="Y6" s="18"/>
      <c r="Z6" s="19"/>
      <c r="AA6" s="18"/>
      <c r="AB6" s="19"/>
    </row>
    <row r="7" spans="1:28">
      <c r="A7" s="15" t="s">
        <v>39</v>
      </c>
      <c r="B7" s="15" t="s">
        <v>46</v>
      </c>
      <c r="C7" s="16" t="s">
        <v>41</v>
      </c>
      <c r="D7" s="17" t="s">
        <v>42</v>
      </c>
      <c r="E7" s="18"/>
      <c r="F7" s="26"/>
      <c r="G7" s="22"/>
      <c r="H7" s="23"/>
      <c r="I7" s="18"/>
      <c r="J7" s="19"/>
      <c r="K7" s="18"/>
      <c r="L7" s="19"/>
      <c r="M7" s="18"/>
      <c r="N7" s="19"/>
      <c r="O7" s="27"/>
      <c r="P7" s="28"/>
      <c r="Q7" s="22"/>
      <c r="R7" s="23"/>
      <c r="S7" s="18"/>
      <c r="T7" s="19"/>
      <c r="U7" s="18"/>
      <c r="V7" s="19"/>
      <c r="W7" s="18"/>
      <c r="X7" s="19"/>
      <c r="Y7" s="18"/>
      <c r="Z7" s="19"/>
      <c r="AA7" s="18"/>
      <c r="AB7" s="19"/>
    </row>
    <row r="8" spans="1:28">
      <c r="A8" s="15" t="s">
        <v>39</v>
      </c>
      <c r="B8" s="15" t="s">
        <v>47</v>
      </c>
      <c r="C8" s="16" t="s">
        <v>41</v>
      </c>
      <c r="D8" s="17" t="s">
        <v>42</v>
      </c>
      <c r="E8" s="18"/>
      <c r="F8" s="26"/>
      <c r="G8" s="22"/>
      <c r="H8" s="23"/>
      <c r="I8" s="18"/>
      <c r="J8" s="19"/>
      <c r="K8" s="18"/>
      <c r="L8" s="19"/>
      <c r="M8" s="18"/>
      <c r="N8" s="19"/>
      <c r="O8" s="27"/>
      <c r="P8" s="28"/>
      <c r="Q8" s="22"/>
      <c r="R8" s="23"/>
      <c r="S8" s="18"/>
      <c r="T8" s="19"/>
      <c r="U8" s="18"/>
      <c r="V8" s="19"/>
      <c r="W8" s="18"/>
      <c r="X8" s="19"/>
      <c r="Y8" s="18"/>
      <c r="Z8" s="19"/>
      <c r="AA8" s="18"/>
      <c r="AB8" s="19"/>
    </row>
    <row r="9" spans="1:28">
      <c r="A9" s="15" t="s">
        <v>39</v>
      </c>
      <c r="B9" s="15" t="s">
        <v>48</v>
      </c>
      <c r="C9" s="16" t="s">
        <v>41</v>
      </c>
      <c r="D9" s="17" t="s">
        <v>42</v>
      </c>
      <c r="E9" s="18"/>
      <c r="F9" s="26"/>
      <c r="G9" s="22"/>
      <c r="H9" s="23"/>
      <c r="I9" s="18"/>
      <c r="J9" s="19"/>
      <c r="K9" s="18"/>
      <c r="L9" s="19"/>
      <c r="M9" s="18"/>
      <c r="N9" s="19"/>
      <c r="O9" s="27"/>
      <c r="P9" s="28"/>
      <c r="Q9" s="22"/>
      <c r="R9" s="23"/>
      <c r="S9" s="18"/>
      <c r="T9" s="19"/>
      <c r="U9" s="18"/>
      <c r="V9" s="19"/>
      <c r="W9" s="18"/>
      <c r="X9" s="19"/>
      <c r="Y9" s="18"/>
      <c r="Z9" s="19"/>
      <c r="AA9" s="18"/>
      <c r="AB9" s="19"/>
    </row>
    <row r="10" spans="1:28">
      <c r="A10" s="15" t="s">
        <v>39</v>
      </c>
      <c r="B10" s="15" t="s">
        <v>49</v>
      </c>
      <c r="C10" s="16" t="s">
        <v>41</v>
      </c>
      <c r="D10" s="17" t="s">
        <v>42</v>
      </c>
      <c r="E10" s="18"/>
      <c r="F10" s="26"/>
      <c r="G10" s="22"/>
      <c r="H10" s="23"/>
      <c r="I10" s="18"/>
      <c r="J10" s="19"/>
      <c r="K10" s="18"/>
      <c r="L10" s="19"/>
      <c r="M10" s="18"/>
      <c r="N10" s="19"/>
      <c r="O10" s="27"/>
      <c r="P10" s="28"/>
      <c r="Q10" s="22"/>
      <c r="R10" s="23"/>
      <c r="S10" s="18"/>
      <c r="T10" s="19"/>
      <c r="U10" s="18"/>
      <c r="V10" s="19"/>
      <c r="W10" s="18"/>
      <c r="X10" s="19"/>
      <c r="Y10" s="18"/>
      <c r="Z10" s="19"/>
      <c r="AA10" s="18"/>
      <c r="AB10" s="19"/>
    </row>
    <row r="11" spans="1:28">
      <c r="A11" s="15" t="s">
        <v>39</v>
      </c>
      <c r="B11" s="15" t="s">
        <v>50</v>
      </c>
      <c r="C11" s="16" t="s">
        <v>41</v>
      </c>
      <c r="D11" s="17" t="s">
        <v>42</v>
      </c>
      <c r="E11" s="18"/>
      <c r="F11" s="26"/>
      <c r="G11" s="22"/>
      <c r="H11" s="23"/>
      <c r="I11" s="18"/>
      <c r="J11" s="19"/>
      <c r="K11" s="18"/>
      <c r="L11" s="19"/>
      <c r="M11" s="18"/>
      <c r="N11" s="19"/>
      <c r="O11" s="27"/>
      <c r="P11" s="28"/>
      <c r="Q11" s="22"/>
      <c r="R11" s="23"/>
      <c r="S11" s="18"/>
      <c r="T11" s="19"/>
      <c r="U11" s="18"/>
      <c r="V11" s="19"/>
      <c r="W11" s="18"/>
      <c r="X11" s="19"/>
      <c r="Y11" s="18"/>
      <c r="Z11" s="19"/>
      <c r="AA11" s="18"/>
      <c r="AB11" s="19"/>
    </row>
    <row r="12" spans="1:28">
      <c r="A12" s="15" t="s">
        <v>39</v>
      </c>
      <c r="B12" s="15" t="s">
        <v>51</v>
      </c>
      <c r="C12" s="16" t="s">
        <v>41</v>
      </c>
      <c r="D12" s="17" t="s">
        <v>42</v>
      </c>
      <c r="E12" s="18"/>
      <c r="F12" s="26"/>
      <c r="G12" s="29"/>
      <c r="H12" s="23"/>
      <c r="I12" s="18"/>
      <c r="J12" s="19"/>
      <c r="K12" s="18"/>
      <c r="L12" s="19"/>
      <c r="M12" s="18"/>
      <c r="N12" s="19"/>
      <c r="O12" s="27"/>
      <c r="P12" s="28"/>
      <c r="Q12" s="22"/>
      <c r="R12" s="23"/>
      <c r="S12" s="18"/>
      <c r="T12" s="19"/>
      <c r="U12" s="18"/>
      <c r="V12" s="19"/>
      <c r="W12" s="18"/>
      <c r="X12" s="19"/>
      <c r="Y12" s="18"/>
      <c r="Z12" s="19"/>
      <c r="AA12" s="18"/>
      <c r="AB12" s="19"/>
    </row>
    <row r="13" spans="1:28">
      <c r="A13" s="15" t="s">
        <v>39</v>
      </c>
      <c r="B13" s="15" t="s">
        <v>52</v>
      </c>
      <c r="C13" s="16" t="s">
        <v>41</v>
      </c>
      <c r="D13" s="17" t="s">
        <v>42</v>
      </c>
      <c r="E13" s="18"/>
      <c r="F13" s="26"/>
      <c r="G13" s="22"/>
      <c r="H13" s="23"/>
      <c r="I13" s="18"/>
      <c r="J13" s="19"/>
      <c r="K13" s="18"/>
      <c r="L13" s="19"/>
      <c r="M13" s="18"/>
      <c r="N13" s="19"/>
      <c r="O13" s="27"/>
      <c r="P13" s="28"/>
      <c r="Q13" s="22"/>
      <c r="R13" s="23"/>
      <c r="S13" s="18"/>
      <c r="T13" s="19"/>
      <c r="U13" s="18"/>
      <c r="V13" s="19"/>
      <c r="W13" s="18"/>
      <c r="X13" s="19"/>
      <c r="Y13" s="18"/>
      <c r="Z13" s="19"/>
      <c r="AA13" s="18"/>
      <c r="AB13" s="19"/>
    </row>
    <row r="14" spans="1:28">
      <c r="A14" s="15" t="s">
        <v>39</v>
      </c>
      <c r="B14" s="15" t="s">
        <v>53</v>
      </c>
      <c r="C14" s="16" t="s">
        <v>41</v>
      </c>
      <c r="D14" s="17" t="s">
        <v>42</v>
      </c>
      <c r="E14" s="18"/>
      <c r="F14" s="19"/>
      <c r="G14" s="30"/>
      <c r="H14" s="19"/>
      <c r="I14" s="18"/>
      <c r="J14" s="19"/>
      <c r="K14" s="18"/>
      <c r="L14" s="19"/>
      <c r="M14" s="18"/>
      <c r="N14" s="19"/>
      <c r="O14" s="18"/>
      <c r="P14" s="31"/>
      <c r="Q14" s="30"/>
      <c r="R14" s="19"/>
      <c r="S14" s="18"/>
      <c r="T14" s="21"/>
      <c r="U14" s="18"/>
      <c r="V14" s="19"/>
      <c r="W14" s="18"/>
      <c r="X14" s="19"/>
      <c r="Y14" s="18"/>
      <c r="Z14" s="19"/>
      <c r="AA14" s="18"/>
      <c r="AB14" s="19"/>
    </row>
    <row r="15" spans="1:28">
      <c r="A15" s="32" t="s">
        <v>39</v>
      </c>
      <c r="B15" s="32" t="s">
        <v>54</v>
      </c>
      <c r="C15" s="16" t="s">
        <v>41</v>
      </c>
      <c r="D15" s="17" t="s">
        <v>42</v>
      </c>
      <c r="E15" s="18"/>
      <c r="F15" s="21"/>
      <c r="G15" s="18"/>
      <c r="H15" s="21"/>
      <c r="I15" s="18"/>
      <c r="J15" s="21"/>
      <c r="K15" s="18"/>
      <c r="L15" s="21"/>
      <c r="M15" s="18"/>
      <c r="N15" s="19"/>
      <c r="O15" s="18"/>
      <c r="P15" s="21"/>
      <c r="Q15" s="18"/>
      <c r="R15" s="21"/>
      <c r="S15" s="18"/>
      <c r="T15" s="33"/>
      <c r="U15" s="18"/>
      <c r="V15" s="21"/>
      <c r="W15" s="18"/>
      <c r="X15" s="21"/>
      <c r="Y15" s="18"/>
      <c r="Z15" s="21"/>
      <c r="AA15" s="18"/>
      <c r="AB15" s="21"/>
    </row>
    <row r="16" spans="1:28">
      <c r="A16" s="32" t="s">
        <v>39</v>
      </c>
      <c r="B16" s="32" t="s">
        <v>55</v>
      </c>
      <c r="C16" s="16" t="s">
        <v>41</v>
      </c>
      <c r="D16" s="17" t="s">
        <v>42</v>
      </c>
      <c r="E16" s="18"/>
      <c r="F16" s="21"/>
      <c r="G16" s="18"/>
      <c r="H16" s="21"/>
      <c r="I16" s="18"/>
      <c r="J16" s="21"/>
      <c r="K16" s="18"/>
      <c r="L16" s="21"/>
      <c r="M16" s="18"/>
      <c r="N16" s="19"/>
      <c r="O16" s="18"/>
      <c r="P16" s="21"/>
      <c r="Q16" s="18"/>
      <c r="R16" s="21"/>
      <c r="S16" s="27"/>
      <c r="T16" s="34"/>
      <c r="U16" s="35"/>
      <c r="V16" s="21"/>
      <c r="W16" s="18"/>
      <c r="X16" s="21"/>
      <c r="Y16" s="18"/>
      <c r="Z16" s="21"/>
      <c r="AA16" s="18"/>
      <c r="AB16" s="21"/>
    </row>
    <row r="17" spans="1:28">
      <c r="A17" s="32" t="s">
        <v>39</v>
      </c>
      <c r="B17" s="32" t="s">
        <v>56</v>
      </c>
      <c r="C17" s="16" t="s">
        <v>41</v>
      </c>
      <c r="D17" s="17" t="s">
        <v>42</v>
      </c>
      <c r="E17" s="18"/>
      <c r="F17" s="21"/>
      <c r="G17" s="18"/>
      <c r="H17" s="21"/>
      <c r="I17" s="18"/>
      <c r="J17" s="21"/>
      <c r="K17" s="18"/>
      <c r="L17" s="21"/>
      <c r="M17" s="18"/>
      <c r="N17" s="21"/>
      <c r="O17" s="18"/>
      <c r="P17" s="21"/>
      <c r="Q17" s="18"/>
      <c r="R17" s="21"/>
      <c r="S17" s="27"/>
      <c r="T17" s="36"/>
      <c r="U17" s="35"/>
      <c r="V17" s="21"/>
      <c r="W17" s="18"/>
      <c r="X17" s="21"/>
      <c r="Y17" s="18"/>
      <c r="Z17" s="21"/>
      <c r="AA17" s="18"/>
      <c r="AB17" s="21"/>
    </row>
    <row r="18" spans="1:28">
      <c r="A18" s="32" t="s">
        <v>39</v>
      </c>
      <c r="B18" s="32" t="s">
        <v>57</v>
      </c>
      <c r="C18" s="16" t="s">
        <v>41</v>
      </c>
      <c r="D18" s="17" t="s">
        <v>42</v>
      </c>
      <c r="E18" s="18"/>
      <c r="F18" s="21"/>
      <c r="G18" s="18"/>
      <c r="H18" s="21"/>
      <c r="I18" s="18"/>
      <c r="J18" s="21"/>
      <c r="K18" s="18"/>
      <c r="L18" s="21"/>
      <c r="M18" s="18"/>
      <c r="N18" s="21"/>
      <c r="O18" s="18"/>
      <c r="P18" s="21"/>
      <c r="Q18" s="18"/>
      <c r="R18" s="21"/>
      <c r="S18" s="27"/>
      <c r="T18" s="34"/>
      <c r="U18" s="35"/>
      <c r="V18" s="21"/>
      <c r="W18" s="18"/>
      <c r="X18" s="21"/>
      <c r="Y18" s="18"/>
      <c r="Z18" s="21"/>
      <c r="AA18" s="18"/>
      <c r="AB18" s="21"/>
    </row>
    <row r="19" spans="1:28">
      <c r="A19" s="15" t="s">
        <v>39</v>
      </c>
      <c r="B19" s="15" t="s">
        <v>58</v>
      </c>
      <c r="C19" s="16" t="s">
        <v>41</v>
      </c>
      <c r="D19" s="17" t="s">
        <v>42</v>
      </c>
      <c r="E19" s="18"/>
      <c r="F19" s="19"/>
      <c r="G19" s="18"/>
      <c r="H19" s="19"/>
      <c r="I19" s="18"/>
      <c r="J19" s="19"/>
      <c r="K19" s="18"/>
      <c r="L19" s="19"/>
      <c r="M19" s="18"/>
      <c r="N19" s="19"/>
      <c r="O19" s="18"/>
      <c r="P19" s="19"/>
      <c r="Q19" s="18"/>
      <c r="R19" s="19"/>
      <c r="S19" s="27"/>
      <c r="T19" s="28"/>
      <c r="U19" s="35"/>
      <c r="V19" s="19"/>
      <c r="W19" s="18"/>
      <c r="X19" s="19"/>
      <c r="Y19" s="18"/>
      <c r="Z19" s="19"/>
      <c r="AA19" s="18"/>
      <c r="AB19" s="19"/>
    </row>
    <row r="20" spans="1:28">
      <c r="A20" s="15" t="s">
        <v>39</v>
      </c>
      <c r="B20" s="15" t="s">
        <v>59</v>
      </c>
      <c r="C20" s="16" t="s">
        <v>41</v>
      </c>
      <c r="D20" s="17" t="s">
        <v>42</v>
      </c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31"/>
      <c r="U20" s="18"/>
      <c r="V20" s="19"/>
      <c r="W20" s="18"/>
      <c r="X20" s="19"/>
      <c r="Y20" s="18"/>
      <c r="Z20" s="19"/>
      <c r="AA20" s="18"/>
      <c r="AB20" s="19"/>
    </row>
    <row r="21" spans="1:28">
      <c r="A21" s="15" t="s">
        <v>39</v>
      </c>
      <c r="B21" s="2" t="s">
        <v>60</v>
      </c>
      <c r="C21" s="16" t="s">
        <v>41</v>
      </c>
      <c r="D21" s="17" t="s">
        <v>42</v>
      </c>
      <c r="E21" s="18"/>
      <c r="F21" s="19"/>
      <c r="G21" s="18"/>
      <c r="H21" s="19"/>
      <c r="I21" s="18"/>
      <c r="J21" s="19"/>
      <c r="K21" s="18"/>
      <c r="L21" s="19"/>
      <c r="M21" s="18"/>
      <c r="N21" s="19"/>
      <c r="O21" s="18"/>
      <c r="P21" s="19"/>
      <c r="Q21" s="18"/>
      <c r="R21" s="19"/>
      <c r="S21" s="18"/>
      <c r="T21" s="19"/>
      <c r="U21" s="18"/>
      <c r="V21" s="19"/>
      <c r="W21" s="18"/>
      <c r="X21" s="19"/>
      <c r="Y21" s="18"/>
      <c r="Z21" s="19"/>
      <c r="AA21" s="18"/>
      <c r="AB21" s="19"/>
    </row>
    <row r="22" spans="1:28">
      <c r="A22" s="15" t="s">
        <v>39</v>
      </c>
      <c r="B22" s="2" t="s">
        <v>61</v>
      </c>
      <c r="C22" s="16" t="s">
        <v>41</v>
      </c>
      <c r="D22" s="17" t="s">
        <v>42</v>
      </c>
      <c r="E22" s="18"/>
      <c r="F22" s="19"/>
      <c r="G22" s="18"/>
      <c r="H22" s="19"/>
      <c r="I22" s="18"/>
      <c r="J22" s="19"/>
      <c r="K22" s="18"/>
      <c r="L22" s="19"/>
      <c r="M22" s="18"/>
      <c r="N22" s="19"/>
      <c r="O22" s="18"/>
      <c r="P22" s="19"/>
      <c r="Q22" s="18"/>
      <c r="R22" s="19"/>
      <c r="S22" s="18"/>
      <c r="T22" s="19"/>
      <c r="U22" s="18"/>
      <c r="V22" s="19"/>
      <c r="W22" s="18"/>
      <c r="X22" s="19"/>
      <c r="Y22" s="18"/>
      <c r="Z22" s="19"/>
      <c r="AA22" s="18"/>
      <c r="AB22" s="19"/>
    </row>
    <row r="23" spans="1:28">
      <c r="A23" s="37" t="s">
        <v>62</v>
      </c>
      <c r="B23" s="37"/>
      <c r="C23" s="38" t="s">
        <v>41</v>
      </c>
      <c r="D23" s="39" t="s">
        <v>42</v>
      </c>
      <c r="E23" s="40" t="s">
        <v>42</v>
      </c>
      <c r="F23" s="39" t="s">
        <v>42</v>
      </c>
      <c r="G23" s="40" t="s">
        <v>42</v>
      </c>
      <c r="H23" s="39" t="s">
        <v>42</v>
      </c>
      <c r="I23" s="40" t="s">
        <v>42</v>
      </c>
      <c r="J23" s="39" t="s">
        <v>42</v>
      </c>
      <c r="K23" s="40" t="s">
        <v>42</v>
      </c>
      <c r="L23" s="39" t="s">
        <v>42</v>
      </c>
      <c r="M23" s="40" t="s">
        <v>42</v>
      </c>
      <c r="N23" s="39" t="s">
        <v>42</v>
      </c>
      <c r="O23" s="40" t="s">
        <v>42</v>
      </c>
      <c r="P23" s="39" t="s">
        <v>42</v>
      </c>
      <c r="Q23" s="40" t="s">
        <v>42</v>
      </c>
      <c r="R23" s="39" t="s">
        <v>42</v>
      </c>
      <c r="S23" s="40" t="s">
        <v>42</v>
      </c>
      <c r="T23" s="39" t="s">
        <v>42</v>
      </c>
      <c r="U23" s="40" t="s">
        <v>42</v>
      </c>
      <c r="V23" s="39" t="s">
        <v>42</v>
      </c>
      <c r="W23" s="40" t="s">
        <v>42</v>
      </c>
      <c r="X23" s="39" t="s">
        <v>42</v>
      </c>
      <c r="Y23" s="40" t="s">
        <v>42</v>
      </c>
      <c r="Z23" s="39" t="s">
        <v>42</v>
      </c>
      <c r="AA23" s="40" t="s">
        <v>42</v>
      </c>
      <c r="AB23" s="39" t="s">
        <v>42</v>
      </c>
    </row>
    <row r="24" spans="1:28">
      <c r="A24" s="2" t="s">
        <v>63</v>
      </c>
      <c r="B24" s="2" t="s">
        <v>64</v>
      </c>
      <c r="C24" s="41" t="s">
        <v>41</v>
      </c>
      <c r="D24" s="17" t="s">
        <v>42</v>
      </c>
      <c r="E24" s="18"/>
      <c r="F24" s="19"/>
      <c r="G24" s="18"/>
      <c r="H24" s="19"/>
      <c r="I24" s="18"/>
      <c r="J24" s="19"/>
      <c r="K24" s="30"/>
      <c r="L24" s="19"/>
      <c r="M24" s="18"/>
      <c r="N24" s="19"/>
      <c r="O24" s="18"/>
      <c r="P24" s="19"/>
      <c r="Q24" s="18"/>
      <c r="R24" s="19"/>
      <c r="S24" s="18"/>
      <c r="T24" s="19"/>
      <c r="U24" s="18"/>
      <c r="V24" s="19"/>
      <c r="W24" s="18"/>
      <c r="X24" s="19"/>
      <c r="Y24" s="18"/>
      <c r="Z24" s="19"/>
      <c r="AA24" s="18"/>
      <c r="AB24" s="19"/>
    </row>
    <row r="25" spans="1:28">
      <c r="A25" s="2" t="s">
        <v>63</v>
      </c>
      <c r="B25" s="2" t="s">
        <v>65</v>
      </c>
      <c r="C25" s="41" t="s">
        <v>41</v>
      </c>
      <c r="D25" s="17" t="s">
        <v>42</v>
      </c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</row>
    <row r="26" spans="1:28">
      <c r="A26" s="2" t="s">
        <v>63</v>
      </c>
      <c r="B26" s="2" t="s">
        <v>66</v>
      </c>
      <c r="C26" s="41" t="s">
        <v>41</v>
      </c>
      <c r="D26" s="17" t="s">
        <v>42</v>
      </c>
      <c r="E26" s="18"/>
      <c r="F26" s="19"/>
      <c r="G26" s="18"/>
      <c r="H26" s="19"/>
      <c r="I26" s="18"/>
      <c r="J26" s="19"/>
      <c r="K26" s="18"/>
      <c r="L26" s="19"/>
      <c r="M26" s="18"/>
      <c r="N26" s="19"/>
      <c r="O26" s="18"/>
      <c r="P26" s="19"/>
      <c r="Q26" s="18"/>
      <c r="R26" s="19"/>
      <c r="S26" s="18"/>
      <c r="T26" s="19"/>
      <c r="U26" s="18"/>
      <c r="V26" s="19"/>
      <c r="W26" s="18"/>
      <c r="X26" s="19"/>
      <c r="Y26" s="18"/>
      <c r="Z26" s="19"/>
      <c r="AA26" s="18"/>
      <c r="AB26" s="19"/>
    </row>
    <row r="27" spans="1:28">
      <c r="A27" s="37" t="s">
        <v>67</v>
      </c>
      <c r="B27" s="37"/>
      <c r="C27" s="38" t="s">
        <v>41</v>
      </c>
      <c r="D27" s="39" t="s">
        <v>42</v>
      </c>
      <c r="E27" s="38" t="s">
        <v>42</v>
      </c>
      <c r="F27" s="39" t="s">
        <v>42</v>
      </c>
      <c r="G27" s="38" t="s">
        <v>42</v>
      </c>
      <c r="H27" s="39" t="s">
        <v>42</v>
      </c>
      <c r="I27" s="38" t="s">
        <v>42</v>
      </c>
      <c r="J27" s="39" t="s">
        <v>42</v>
      </c>
      <c r="K27" s="38" t="s">
        <v>42</v>
      </c>
      <c r="L27" s="39" t="s">
        <v>42</v>
      </c>
      <c r="M27" s="38" t="s">
        <v>42</v>
      </c>
      <c r="N27" s="39" t="s">
        <v>42</v>
      </c>
      <c r="O27" s="38" t="s">
        <v>42</v>
      </c>
      <c r="P27" s="39" t="s">
        <v>42</v>
      </c>
      <c r="Q27" s="38" t="s">
        <v>42</v>
      </c>
      <c r="R27" s="39" t="s">
        <v>42</v>
      </c>
      <c r="S27" s="38" t="s">
        <v>42</v>
      </c>
      <c r="T27" s="39" t="s">
        <v>42</v>
      </c>
      <c r="U27" s="38" t="s">
        <v>42</v>
      </c>
      <c r="V27" s="39" t="s">
        <v>42</v>
      </c>
      <c r="W27" s="38" t="s">
        <v>42</v>
      </c>
      <c r="X27" s="39" t="s">
        <v>42</v>
      </c>
      <c r="Y27" s="38" t="s">
        <v>42</v>
      </c>
      <c r="Z27" s="39" t="s">
        <v>42</v>
      </c>
      <c r="AA27" s="38" t="s">
        <v>42</v>
      </c>
      <c r="AB27" s="39" t="s">
        <v>42</v>
      </c>
    </row>
    <row r="28" spans="1:28">
      <c r="A28" s="15" t="s">
        <v>68</v>
      </c>
      <c r="B28" s="15" t="s">
        <v>69</v>
      </c>
      <c r="C28" s="41" t="s">
        <v>41</v>
      </c>
      <c r="D28" s="17" t="s">
        <v>42</v>
      </c>
      <c r="E28" s="18"/>
      <c r="F28" s="19"/>
      <c r="G28" s="18"/>
      <c r="H28" s="19"/>
      <c r="I28" s="18"/>
      <c r="J28" s="19"/>
      <c r="K28" s="18"/>
      <c r="L28" s="19"/>
      <c r="M28" s="18"/>
      <c r="N28" s="19"/>
      <c r="O28" s="18"/>
      <c r="P28" s="19"/>
      <c r="Q28" s="18"/>
      <c r="R28" s="19"/>
      <c r="S28" s="18"/>
      <c r="T28" s="19"/>
      <c r="U28" s="18"/>
      <c r="V28" s="19"/>
      <c r="W28" s="18"/>
      <c r="X28" s="19"/>
      <c r="Y28" s="18"/>
      <c r="Z28" s="19"/>
      <c r="AA28" s="18"/>
      <c r="AB28" s="19"/>
    </row>
    <row r="29" spans="1:28">
      <c r="A29" s="15" t="s">
        <v>68</v>
      </c>
      <c r="B29" s="15" t="s">
        <v>70</v>
      </c>
      <c r="C29" s="41" t="s">
        <v>41</v>
      </c>
      <c r="D29" s="17" t="s">
        <v>42</v>
      </c>
      <c r="E29" s="18"/>
      <c r="F29" s="19"/>
      <c r="G29" s="18"/>
      <c r="H29" s="19"/>
      <c r="I29" s="18"/>
      <c r="J29" s="19"/>
      <c r="K29" s="18"/>
      <c r="L29" s="19"/>
      <c r="M29" s="18"/>
      <c r="N29" s="19"/>
      <c r="O29" s="18"/>
      <c r="P29" s="19"/>
      <c r="Q29" s="18"/>
      <c r="R29" s="19"/>
      <c r="S29" s="18"/>
      <c r="T29" s="19"/>
      <c r="U29" s="18"/>
      <c r="V29" s="19"/>
      <c r="W29" s="18"/>
      <c r="X29" s="19"/>
      <c r="Y29" s="18"/>
      <c r="Z29" s="19"/>
      <c r="AA29" s="18"/>
      <c r="AB29" s="19"/>
    </row>
    <row r="30" spans="1:28">
      <c r="A30" s="15" t="s">
        <v>71</v>
      </c>
      <c r="B30" s="15" t="s">
        <v>69</v>
      </c>
      <c r="C30" s="41" t="s">
        <v>41</v>
      </c>
      <c r="D30" s="17" t="s">
        <v>42</v>
      </c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</row>
    <row r="31" spans="1:28">
      <c r="A31" s="15" t="s">
        <v>71</v>
      </c>
      <c r="B31" s="15" t="s">
        <v>72</v>
      </c>
      <c r="C31" s="41" t="s">
        <v>41</v>
      </c>
      <c r="D31" s="17" t="s">
        <v>42</v>
      </c>
      <c r="E31" s="18"/>
      <c r="F31" s="19"/>
      <c r="G31" s="18"/>
      <c r="H31" s="19"/>
      <c r="I31" s="18"/>
      <c r="J31" s="19"/>
      <c r="K31" s="18"/>
      <c r="L31" s="19"/>
      <c r="M31" s="18"/>
      <c r="N31" s="19"/>
      <c r="O31" s="18"/>
      <c r="P31" s="19"/>
      <c r="Q31" s="18"/>
      <c r="R31" s="19"/>
      <c r="S31" s="18"/>
      <c r="T31" s="19"/>
      <c r="U31" s="18"/>
      <c r="V31" s="19"/>
      <c r="W31" s="18"/>
      <c r="X31" s="19"/>
      <c r="Y31" s="18"/>
      <c r="Z31" s="19"/>
      <c r="AA31" s="18"/>
      <c r="AB31" s="19"/>
    </row>
    <row r="32" spans="1:28">
      <c r="A32" s="15" t="s">
        <v>71</v>
      </c>
      <c r="B32" s="15" t="s">
        <v>69</v>
      </c>
      <c r="C32" s="41" t="s">
        <v>41</v>
      </c>
      <c r="D32" s="17" t="s">
        <v>42</v>
      </c>
      <c r="E32" s="18"/>
      <c r="F32" s="19"/>
      <c r="G32" s="18"/>
      <c r="H32" s="19"/>
      <c r="I32" s="18"/>
      <c r="J32" s="19"/>
      <c r="K32" s="18"/>
      <c r="L32" s="19"/>
      <c r="M32" s="18"/>
      <c r="N32" s="19"/>
      <c r="O32" s="18"/>
      <c r="P32" s="19"/>
      <c r="Q32" s="18"/>
      <c r="R32" s="19"/>
      <c r="S32" s="18"/>
      <c r="T32" s="19"/>
      <c r="U32" s="18"/>
      <c r="V32" s="19"/>
      <c r="W32" s="18"/>
      <c r="X32" s="19"/>
      <c r="Y32" s="18"/>
      <c r="Z32" s="19"/>
      <c r="AA32" s="18"/>
      <c r="AB32" s="19"/>
    </row>
    <row r="33" spans="1:28">
      <c r="A33" s="15" t="s">
        <v>71</v>
      </c>
      <c r="B33" s="15" t="s">
        <v>73</v>
      </c>
      <c r="C33" s="41" t="s">
        <v>41</v>
      </c>
      <c r="D33" s="17" t="s">
        <v>42</v>
      </c>
      <c r="E33" s="18"/>
      <c r="F33" s="19"/>
      <c r="G33" s="18"/>
      <c r="H33" s="19"/>
      <c r="I33" s="18"/>
      <c r="J33" s="19"/>
      <c r="K33" s="18"/>
      <c r="L33" s="19"/>
      <c r="M33" s="18"/>
      <c r="N33" s="19"/>
      <c r="O33" s="18"/>
      <c r="P33" s="19"/>
      <c r="Q33" s="18"/>
      <c r="R33" s="19"/>
      <c r="S33" s="18"/>
      <c r="T33" s="19"/>
      <c r="U33" s="18"/>
      <c r="V33" s="19"/>
      <c r="W33" s="18"/>
      <c r="X33" s="19"/>
      <c r="Y33" s="18"/>
      <c r="Z33" s="19"/>
      <c r="AA33" s="18"/>
      <c r="AB33" s="19"/>
    </row>
    <row r="34" spans="1:28">
      <c r="A34" s="37" t="s">
        <v>74</v>
      </c>
      <c r="B34" s="37"/>
      <c r="C34" s="38" t="s">
        <v>41</v>
      </c>
      <c r="D34" s="39" t="s">
        <v>42</v>
      </c>
      <c r="E34" s="38" t="s">
        <v>42</v>
      </c>
      <c r="F34" s="39" t="s">
        <v>42</v>
      </c>
      <c r="G34" s="38" t="s">
        <v>42</v>
      </c>
      <c r="H34" s="39" t="s">
        <v>42</v>
      </c>
      <c r="I34" s="38" t="s">
        <v>42</v>
      </c>
      <c r="J34" s="39" t="s">
        <v>42</v>
      </c>
      <c r="K34" s="38" t="s">
        <v>42</v>
      </c>
      <c r="L34" s="39" t="s">
        <v>42</v>
      </c>
      <c r="M34" s="38" t="s">
        <v>42</v>
      </c>
      <c r="N34" s="39" t="s">
        <v>42</v>
      </c>
      <c r="O34" s="38" t="s">
        <v>42</v>
      </c>
      <c r="P34" s="39" t="s">
        <v>42</v>
      </c>
      <c r="Q34" s="38" t="s">
        <v>42</v>
      </c>
      <c r="R34" s="39" t="s">
        <v>42</v>
      </c>
      <c r="S34" s="38" t="s">
        <v>42</v>
      </c>
      <c r="T34" s="39" t="s">
        <v>42</v>
      </c>
      <c r="U34" s="38" t="s">
        <v>42</v>
      </c>
      <c r="V34" s="39" t="s">
        <v>42</v>
      </c>
      <c r="W34" s="38" t="s">
        <v>42</v>
      </c>
      <c r="X34" s="39" t="s">
        <v>42</v>
      </c>
      <c r="Y34" s="38" t="s">
        <v>42</v>
      </c>
      <c r="Z34" s="39" t="s">
        <v>42</v>
      </c>
      <c r="AA34" s="38" t="s">
        <v>42</v>
      </c>
      <c r="AB34" s="39" t="s">
        <v>42</v>
      </c>
    </row>
    <row r="35" spans="1:28">
      <c r="A35" s="2" t="s">
        <v>75</v>
      </c>
      <c r="B35" s="2" t="s">
        <v>61</v>
      </c>
      <c r="C35" s="41" t="s">
        <v>41</v>
      </c>
      <c r="D35" s="17" t="s">
        <v>42</v>
      </c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</row>
    <row r="36" spans="1:28">
      <c r="A36" s="2" t="s">
        <v>76</v>
      </c>
      <c r="B36" s="2" t="s">
        <v>77</v>
      </c>
      <c r="C36" s="41" t="s">
        <v>41</v>
      </c>
      <c r="D36" s="17" t="s">
        <v>42</v>
      </c>
      <c r="E36" s="18"/>
      <c r="F36" s="19"/>
      <c r="G36" s="18"/>
      <c r="H36" s="19"/>
      <c r="I36" s="18"/>
      <c r="J36" s="19"/>
      <c r="K36" s="18"/>
      <c r="L36" s="19"/>
      <c r="M36" s="18"/>
      <c r="N36" s="19"/>
      <c r="O36" s="18"/>
      <c r="P36" s="19"/>
      <c r="Q36" s="18"/>
      <c r="R36" s="19"/>
      <c r="S36" s="18"/>
      <c r="T36" s="19"/>
      <c r="U36" s="18"/>
      <c r="V36" s="19"/>
      <c r="W36" s="18"/>
      <c r="X36" s="19"/>
      <c r="Y36" s="18"/>
      <c r="Z36" s="19"/>
      <c r="AA36" s="18"/>
      <c r="AB36" s="19"/>
    </row>
    <row r="37" spans="1:28">
      <c r="A37" s="2" t="s">
        <v>76</v>
      </c>
      <c r="B37" s="2" t="s">
        <v>78</v>
      </c>
      <c r="C37" s="41" t="s">
        <v>41</v>
      </c>
      <c r="D37" s="17" t="s">
        <v>42</v>
      </c>
      <c r="E37" s="18"/>
      <c r="F37" s="19"/>
      <c r="G37" s="18"/>
      <c r="H37" s="19"/>
      <c r="I37" s="18"/>
      <c r="J37" s="19"/>
      <c r="K37" s="42"/>
      <c r="L37" s="19"/>
      <c r="M37" s="42"/>
      <c r="N37" s="19"/>
      <c r="O37" s="42"/>
      <c r="P37" s="19"/>
      <c r="Q37" s="42"/>
      <c r="R37" s="19"/>
      <c r="S37" s="42"/>
      <c r="T37" s="19"/>
      <c r="U37" s="42"/>
      <c r="V37" s="19"/>
      <c r="W37" s="18"/>
      <c r="X37" s="19"/>
      <c r="Y37" s="18"/>
      <c r="Z37" s="19"/>
      <c r="AA37" s="18"/>
      <c r="AB37" s="19"/>
    </row>
    <row r="38" spans="1:28">
      <c r="A38" s="2" t="s">
        <v>76</v>
      </c>
      <c r="B38" s="2" t="s">
        <v>79</v>
      </c>
      <c r="C38" s="41" t="s">
        <v>41</v>
      </c>
      <c r="D38" s="17" t="s">
        <v>42</v>
      </c>
      <c r="E38" s="18"/>
      <c r="F38" s="19"/>
      <c r="G38" s="18"/>
      <c r="H38" s="21"/>
      <c r="I38" s="18"/>
      <c r="J38" s="19"/>
      <c r="K38" s="18"/>
      <c r="L38" s="19"/>
      <c r="M38" s="18"/>
      <c r="N38" s="19"/>
      <c r="O38" s="18"/>
      <c r="P38" s="19"/>
      <c r="Q38" s="18"/>
      <c r="R38" s="19"/>
      <c r="S38" s="18"/>
      <c r="T38" s="19"/>
      <c r="U38" s="18"/>
      <c r="V38" s="19"/>
      <c r="W38" s="18"/>
      <c r="X38" s="19"/>
      <c r="Y38" s="18"/>
      <c r="Z38" s="19"/>
      <c r="AA38" s="18"/>
      <c r="AB38" s="19"/>
    </row>
    <row r="39" spans="1:28">
      <c r="A39" s="37" t="s">
        <v>80</v>
      </c>
      <c r="B39" s="37"/>
      <c r="C39" s="38" t="s">
        <v>42</v>
      </c>
      <c r="D39" s="39" t="s">
        <v>42</v>
      </c>
      <c r="E39" s="38" t="s">
        <v>42</v>
      </c>
      <c r="F39" s="39" t="s">
        <v>42</v>
      </c>
      <c r="G39" s="38" t="s">
        <v>42</v>
      </c>
      <c r="H39" s="39" t="s">
        <v>42</v>
      </c>
      <c r="I39" s="38" t="s">
        <v>42</v>
      </c>
      <c r="J39" s="39" t="s">
        <v>42</v>
      </c>
      <c r="K39" s="38" t="s">
        <v>42</v>
      </c>
      <c r="L39" s="39" t="s">
        <v>42</v>
      </c>
      <c r="M39" s="38" t="s">
        <v>42</v>
      </c>
      <c r="N39" s="39" t="s">
        <v>42</v>
      </c>
      <c r="O39" s="38" t="s">
        <v>42</v>
      </c>
      <c r="P39" s="39" t="s">
        <v>42</v>
      </c>
      <c r="Q39" s="38" t="s">
        <v>42</v>
      </c>
      <c r="R39" s="39" t="s">
        <v>42</v>
      </c>
      <c r="S39" s="38" t="s">
        <v>42</v>
      </c>
      <c r="T39" s="39" t="s">
        <v>42</v>
      </c>
      <c r="U39" s="38" t="s">
        <v>42</v>
      </c>
      <c r="V39" s="39" t="s">
        <v>42</v>
      </c>
      <c r="W39" s="38" t="s">
        <v>42</v>
      </c>
      <c r="X39" s="39" t="s">
        <v>42</v>
      </c>
      <c r="Y39" s="38" t="s">
        <v>42</v>
      </c>
      <c r="Z39" s="39" t="s">
        <v>42</v>
      </c>
      <c r="AA39" s="38" t="s">
        <v>42</v>
      </c>
      <c r="AB39" s="39" t="s">
        <v>42</v>
      </c>
    </row>
    <row r="40" spans="1:28">
      <c r="A40" s="43" t="s">
        <v>81</v>
      </c>
      <c r="B40" s="43"/>
      <c r="C40" s="44"/>
      <c r="D40" s="45" t="s">
        <v>41</v>
      </c>
      <c r="E40" s="44"/>
      <c r="F40" s="45"/>
      <c r="G40" s="44"/>
      <c r="H40" s="45"/>
      <c r="I40" s="44"/>
      <c r="J40" s="45"/>
      <c r="K40" s="44"/>
      <c r="L40" s="45"/>
      <c r="M40" s="44"/>
      <c r="N40" s="45"/>
      <c r="O40" s="44"/>
      <c r="P40" s="45"/>
      <c r="Q40" s="44"/>
      <c r="R40" s="45"/>
      <c r="S40" s="44"/>
      <c r="T40" s="45"/>
      <c r="U40" s="44"/>
      <c r="V40" s="45"/>
      <c r="W40" s="44"/>
      <c r="X40" s="45"/>
      <c r="Y40" s="44"/>
      <c r="Z40" s="45"/>
      <c r="AA40" s="44"/>
      <c r="AB40" s="45"/>
    </row>
    <row r="41" spans="1:28">
      <c r="A41" s="46" t="s">
        <v>82</v>
      </c>
      <c r="B41" s="46"/>
      <c r="C41" s="47"/>
      <c r="D41" s="48" t="s">
        <v>41</v>
      </c>
      <c r="E41" s="47" t="s">
        <v>42</v>
      </c>
      <c r="F41" s="48" t="s">
        <v>42</v>
      </c>
      <c r="G41" s="47" t="s">
        <v>42</v>
      </c>
      <c r="H41" s="48" t="s">
        <v>42</v>
      </c>
      <c r="I41" s="47" t="s">
        <v>42</v>
      </c>
      <c r="J41" s="48" t="s">
        <v>42</v>
      </c>
      <c r="K41" s="47" t="s">
        <v>42</v>
      </c>
      <c r="L41" s="48" t="s">
        <v>42</v>
      </c>
      <c r="M41" s="47" t="s">
        <v>42</v>
      </c>
      <c r="N41" s="48" t="s">
        <v>42</v>
      </c>
      <c r="O41" s="47" t="s">
        <v>42</v>
      </c>
      <c r="P41" s="48" t="s">
        <v>42</v>
      </c>
      <c r="Q41" s="47" t="s">
        <v>42</v>
      </c>
      <c r="R41" s="48" t="s">
        <v>42</v>
      </c>
      <c r="S41" s="47" t="s">
        <v>42</v>
      </c>
      <c r="T41" s="48" t="s">
        <v>42</v>
      </c>
      <c r="U41" s="47" t="s">
        <v>42</v>
      </c>
      <c r="V41" s="48" t="s">
        <v>42</v>
      </c>
      <c r="W41" s="47" t="s">
        <v>42</v>
      </c>
      <c r="X41" s="48" t="s">
        <v>42</v>
      </c>
      <c r="Y41" s="47" t="s">
        <v>42</v>
      </c>
      <c r="Z41" s="48" t="s">
        <v>42</v>
      </c>
      <c r="AA41" s="47" t="s">
        <v>42</v>
      </c>
      <c r="AB41" s="48" t="s">
        <v>42</v>
      </c>
    </row>
    <row r="42" spans="1:28">
      <c r="A42" s="49" t="s">
        <v>83</v>
      </c>
      <c r="B42" s="49"/>
      <c r="C42" s="50"/>
      <c r="D42" s="51">
        <v>39171829.979999997</v>
      </c>
      <c r="E42" s="52">
        <v>34159505.590000004</v>
      </c>
      <c r="F42" s="53">
        <v>36971829.979999997</v>
      </c>
      <c r="G42" s="52">
        <v>39265995.939999998</v>
      </c>
      <c r="H42" s="53">
        <v>2200000</v>
      </c>
      <c r="I42" s="52">
        <v>37121758.219999999</v>
      </c>
      <c r="J42" s="54" t="s">
        <v>42</v>
      </c>
      <c r="K42" s="52">
        <v>2436246.66</v>
      </c>
      <c r="L42" s="54" t="s">
        <v>42</v>
      </c>
      <c r="M42" s="55">
        <v>2424074.75</v>
      </c>
      <c r="N42" s="54" t="s">
        <v>42</v>
      </c>
      <c r="O42" s="55">
        <v>1775288.53</v>
      </c>
      <c r="P42" s="54" t="s">
        <v>42</v>
      </c>
      <c r="Q42" s="56" t="s">
        <v>42</v>
      </c>
      <c r="R42" s="54" t="s">
        <v>42</v>
      </c>
      <c r="S42" s="56" t="s">
        <v>42</v>
      </c>
      <c r="T42" s="51">
        <v>0</v>
      </c>
      <c r="U42" s="56" t="s">
        <v>41</v>
      </c>
      <c r="V42" s="54" t="s">
        <v>42</v>
      </c>
      <c r="W42" s="56" t="s">
        <v>42</v>
      </c>
      <c r="X42" s="54" t="s">
        <v>42</v>
      </c>
      <c r="Y42" s="56" t="s">
        <v>42</v>
      </c>
      <c r="Z42" s="54" t="s">
        <v>42</v>
      </c>
      <c r="AA42" s="56" t="s">
        <v>42</v>
      </c>
      <c r="AB42" s="54" t="s">
        <v>42</v>
      </c>
    </row>
    <row r="43" spans="1:28">
      <c r="A43" s="10" t="s">
        <v>84</v>
      </c>
      <c r="B43" s="2"/>
      <c r="C43" s="4"/>
      <c r="D43" s="57">
        <v>-39171829.979999997</v>
      </c>
      <c r="E43" s="4"/>
      <c r="F43" s="58">
        <v>-36971829.979999997</v>
      </c>
      <c r="G43" s="4"/>
      <c r="H43" s="58">
        <v>-2200000</v>
      </c>
      <c r="I43" s="2"/>
      <c r="J43" s="2" t="s">
        <v>42</v>
      </c>
      <c r="K43" s="2"/>
      <c r="L43" s="2" t="s">
        <v>42</v>
      </c>
      <c r="M43" s="2"/>
      <c r="N43" s="2" t="s">
        <v>42</v>
      </c>
      <c r="O43" s="2"/>
      <c r="P43" s="2" t="s">
        <v>42</v>
      </c>
      <c r="Q43" s="2"/>
      <c r="R43" s="2" t="s">
        <v>42</v>
      </c>
      <c r="S43" s="4"/>
      <c r="T43" s="2" t="s">
        <v>42</v>
      </c>
      <c r="U43" s="4"/>
      <c r="V43" s="2" t="s">
        <v>42</v>
      </c>
      <c r="W43" s="4"/>
      <c r="X43" s="2" t="s">
        <v>42</v>
      </c>
      <c r="Y43" s="4"/>
      <c r="Z43" s="2" t="s">
        <v>42</v>
      </c>
      <c r="AA43" s="4"/>
      <c r="AB43" s="2" t="s">
        <v>42</v>
      </c>
    </row>
    <row r="44" spans="1:28">
      <c r="A44" s="10" t="s">
        <v>85</v>
      </c>
      <c r="B44" s="2"/>
      <c r="C44" s="4"/>
      <c r="D44" s="59">
        <v>-14370329.9</v>
      </c>
      <c r="E44" s="4"/>
      <c r="F44" s="60">
        <v>-51342159.880000003</v>
      </c>
      <c r="G44" s="4"/>
      <c r="H44" s="60">
        <v>-53542159.880000003</v>
      </c>
      <c r="I44" s="2"/>
      <c r="J44" s="60">
        <v>-53542159.880000003</v>
      </c>
      <c r="K44" s="2"/>
      <c r="L44" s="58">
        <v>-53542159.880000003</v>
      </c>
      <c r="M44" s="2"/>
      <c r="N44" s="58">
        <v>-53542159.880000003</v>
      </c>
      <c r="O44" s="2"/>
      <c r="P44" s="58">
        <v>-53542159.880000003</v>
      </c>
      <c r="Q44" s="2"/>
      <c r="R44" s="58">
        <v>-53542159.880000003</v>
      </c>
      <c r="S44" s="2"/>
      <c r="T44" s="58">
        <v>-53542159.880000003</v>
      </c>
      <c r="U44" s="2"/>
      <c r="V44" s="58">
        <v>-53542159.880000003</v>
      </c>
      <c r="W44" s="2"/>
      <c r="X44" s="58">
        <v>-53542159.880000003</v>
      </c>
      <c r="Y44" s="2"/>
      <c r="Z44" s="58">
        <v>-53542159.880000003</v>
      </c>
      <c r="AA44" s="2"/>
      <c r="AB44" s="58">
        <v>-53542159.880000003</v>
      </c>
    </row>
    <row r="45" spans="1:28">
      <c r="A45" s="10" t="s">
        <v>86</v>
      </c>
      <c r="B45" s="2"/>
      <c r="C45" s="4"/>
      <c r="D45" s="45"/>
      <c r="E45" s="61"/>
      <c r="F45" s="62"/>
      <c r="G45" s="63"/>
      <c r="H45" s="62"/>
      <c r="I45" s="63"/>
      <c r="J45" s="62"/>
      <c r="K45" s="63"/>
      <c r="L45" s="62"/>
      <c r="M45" s="63"/>
      <c r="N45" s="62"/>
      <c r="O45" s="63"/>
      <c r="P45" s="62"/>
      <c r="Q45" s="63"/>
      <c r="R45" s="62"/>
      <c r="S45" s="63"/>
      <c r="T45" s="62"/>
      <c r="U45" s="63"/>
      <c r="V45" s="62"/>
      <c r="W45" s="63"/>
      <c r="X45" s="62"/>
      <c r="Y45" s="61"/>
      <c r="Z45" s="64"/>
      <c r="AA45" s="61"/>
      <c r="AB45" s="64"/>
    </row>
    <row r="46" spans="1:28">
      <c r="A46" s="65" t="s">
        <v>87</v>
      </c>
      <c r="B46" s="65"/>
      <c r="C46" s="66"/>
      <c r="D46" s="65"/>
      <c r="E46" s="66"/>
      <c r="F46" s="65"/>
      <c r="G46" s="66"/>
      <c r="H46" s="65"/>
      <c r="I46" s="66"/>
      <c r="J46" s="65"/>
      <c r="K46" s="66"/>
      <c r="L46" s="65"/>
      <c r="M46" s="66"/>
      <c r="N46" s="65"/>
      <c r="O46" s="66"/>
      <c r="P46" s="65"/>
      <c r="Q46" s="66"/>
      <c r="R46" s="65"/>
      <c r="S46" s="66"/>
      <c r="T46" s="65"/>
      <c r="U46" s="66"/>
      <c r="V46" s="65"/>
      <c r="W46" s="66"/>
      <c r="X46" s="65"/>
      <c r="Y46" s="66"/>
      <c r="Z46" s="65"/>
      <c r="AA46" s="66"/>
      <c r="AB46" s="65"/>
    </row>
    <row r="47" spans="1:28">
      <c r="A47" s="2" t="s">
        <v>88</v>
      </c>
      <c r="B47" s="2"/>
      <c r="C47" s="4"/>
      <c r="D47" s="2"/>
      <c r="E47" s="25"/>
      <c r="F47" s="2"/>
      <c r="G47" s="25"/>
      <c r="H47" s="2"/>
      <c r="I47" s="67"/>
      <c r="J47" s="2"/>
      <c r="K47" s="67"/>
      <c r="L47" s="2"/>
      <c r="M47" s="67"/>
      <c r="N47" s="2"/>
      <c r="O47" s="67"/>
      <c r="P47" s="2"/>
      <c r="Q47" s="25"/>
      <c r="R47" s="2"/>
      <c r="S47" s="25"/>
      <c r="T47" s="2"/>
      <c r="U47" s="25"/>
      <c r="V47" s="2"/>
      <c r="W47" s="25"/>
      <c r="X47" s="2"/>
      <c r="Y47" s="25"/>
      <c r="Z47" s="2"/>
      <c r="AA47" s="25"/>
      <c r="AB47" s="2"/>
    </row>
    <row r="48" spans="1:28" ht="30">
      <c r="A48" s="68" t="s">
        <v>89</v>
      </c>
      <c r="B48" s="2"/>
      <c r="C48" s="69"/>
      <c r="D48" s="70"/>
      <c r="E48" s="13" t="s">
        <v>15</v>
      </c>
      <c r="F48" s="14" t="s">
        <v>16</v>
      </c>
      <c r="G48" s="13" t="s">
        <v>17</v>
      </c>
      <c r="H48" s="14" t="s">
        <v>18</v>
      </c>
      <c r="I48" s="13" t="s">
        <v>19</v>
      </c>
      <c r="J48" s="14" t="s">
        <v>20</v>
      </c>
      <c r="K48" s="13" t="s">
        <v>21</v>
      </c>
      <c r="L48" s="14" t="s">
        <v>22</v>
      </c>
      <c r="M48" s="13" t="s">
        <v>23</v>
      </c>
      <c r="N48" s="14" t="s">
        <v>24</v>
      </c>
      <c r="O48" s="13" t="s">
        <v>25</v>
      </c>
      <c r="P48" s="14" t="s">
        <v>26</v>
      </c>
      <c r="Q48" s="13" t="s">
        <v>27</v>
      </c>
      <c r="R48" s="14" t="s">
        <v>28</v>
      </c>
      <c r="S48" s="13" t="s">
        <v>29</v>
      </c>
      <c r="T48" s="14" t="s">
        <v>30</v>
      </c>
      <c r="U48" s="13" t="s">
        <v>31</v>
      </c>
      <c r="V48" s="14" t="s">
        <v>32</v>
      </c>
      <c r="W48" s="13" t="s">
        <v>33</v>
      </c>
      <c r="X48" s="14" t="s">
        <v>34</v>
      </c>
      <c r="Y48" s="13" t="s">
        <v>35</v>
      </c>
      <c r="Z48" s="14" t="s">
        <v>36</v>
      </c>
      <c r="AA48" s="13" t="s">
        <v>37</v>
      </c>
      <c r="AB48" s="14" t="s">
        <v>38</v>
      </c>
    </row>
    <row r="49" spans="1:28">
      <c r="A49" s="2" t="s">
        <v>90</v>
      </c>
      <c r="B49" s="2" t="s">
        <v>91</v>
      </c>
      <c r="C49" s="71">
        <v>9380194</v>
      </c>
      <c r="D49" s="72"/>
      <c r="E49" s="73"/>
      <c r="F49" s="74"/>
      <c r="G49" s="73"/>
      <c r="H49" s="19"/>
      <c r="I49" s="73"/>
      <c r="J49" s="19"/>
      <c r="K49" s="75"/>
      <c r="L49" s="19"/>
      <c r="M49" s="75"/>
      <c r="N49" s="19"/>
      <c r="O49" s="75"/>
      <c r="P49" s="19"/>
      <c r="Q49" s="75"/>
      <c r="R49" s="19"/>
      <c r="S49" s="75"/>
      <c r="T49" s="19"/>
      <c r="U49" s="75"/>
      <c r="V49" s="19"/>
      <c r="W49" s="75"/>
      <c r="X49" s="19"/>
      <c r="Y49" s="75"/>
      <c r="Z49" s="19"/>
      <c r="AA49" s="75"/>
      <c r="AB49" s="19"/>
    </row>
    <row r="50" spans="1:28">
      <c r="A50" s="2" t="s">
        <v>90</v>
      </c>
      <c r="B50" s="2" t="s">
        <v>92</v>
      </c>
      <c r="C50" s="71"/>
      <c r="D50" s="72"/>
      <c r="E50" s="73"/>
      <c r="F50" s="74"/>
      <c r="G50" s="73"/>
      <c r="H50" s="76"/>
      <c r="I50" s="73"/>
      <c r="J50" s="19"/>
      <c r="K50" s="75"/>
      <c r="L50" s="19"/>
      <c r="M50" s="75"/>
      <c r="N50" s="19"/>
      <c r="O50" s="75"/>
      <c r="P50" s="19"/>
      <c r="Q50" s="75"/>
      <c r="R50" s="19"/>
      <c r="S50" s="75"/>
      <c r="T50" s="19"/>
      <c r="U50" s="75"/>
      <c r="V50" s="19"/>
      <c r="W50" s="75"/>
      <c r="X50" s="19"/>
      <c r="Y50" s="75"/>
      <c r="Z50" s="19"/>
      <c r="AA50" s="75"/>
      <c r="AB50" s="19"/>
    </row>
    <row r="51" spans="1:28">
      <c r="A51" s="2" t="s">
        <v>90</v>
      </c>
      <c r="B51" s="2" t="s">
        <v>93</v>
      </c>
      <c r="C51" s="71"/>
      <c r="D51" s="72"/>
      <c r="E51" s="73"/>
      <c r="F51" s="74"/>
      <c r="G51" s="73"/>
      <c r="H51" s="19"/>
      <c r="I51" s="73"/>
      <c r="J51" s="19"/>
      <c r="K51" s="75"/>
      <c r="L51" s="19"/>
      <c r="M51" s="75"/>
      <c r="N51" s="19"/>
      <c r="O51" s="75"/>
      <c r="P51" s="19"/>
      <c r="Q51" s="75"/>
      <c r="R51" s="19"/>
      <c r="S51" s="75"/>
      <c r="T51" s="19"/>
      <c r="U51" s="75"/>
      <c r="V51" s="19"/>
      <c r="W51" s="75"/>
      <c r="X51" s="19"/>
      <c r="Y51" s="75"/>
      <c r="Z51" s="19"/>
      <c r="AA51" s="75"/>
      <c r="AB51" s="19"/>
    </row>
    <row r="52" spans="1:28">
      <c r="A52" s="2" t="s">
        <v>90</v>
      </c>
      <c r="B52" s="2" t="s">
        <v>94</v>
      </c>
      <c r="C52" s="71"/>
      <c r="D52" s="72"/>
      <c r="E52" s="73"/>
      <c r="F52" s="74"/>
      <c r="G52" s="73"/>
      <c r="H52" s="19"/>
      <c r="I52" s="73"/>
      <c r="J52" s="19"/>
      <c r="K52" s="75"/>
      <c r="L52" s="19"/>
      <c r="M52" s="75"/>
      <c r="N52" s="19"/>
      <c r="O52" s="75"/>
      <c r="P52" s="19"/>
      <c r="Q52" s="75"/>
      <c r="R52" s="19"/>
      <c r="S52" s="75"/>
      <c r="T52" s="19"/>
      <c r="U52" s="75"/>
      <c r="V52" s="19"/>
      <c r="W52" s="75"/>
      <c r="X52" s="19"/>
      <c r="Y52" s="75"/>
      <c r="Z52" s="19"/>
      <c r="AA52" s="75"/>
      <c r="AB52" s="19"/>
    </row>
    <row r="53" spans="1:28">
      <c r="A53" s="2" t="s">
        <v>90</v>
      </c>
      <c r="B53" s="2" t="s">
        <v>95</v>
      </c>
      <c r="C53" s="71"/>
      <c r="D53" s="72"/>
      <c r="E53" s="73"/>
      <c r="F53" s="74"/>
      <c r="G53" s="73"/>
      <c r="H53" s="19"/>
      <c r="I53" s="73"/>
      <c r="J53" s="19"/>
      <c r="K53" s="75"/>
      <c r="L53" s="19"/>
      <c r="M53" s="75"/>
      <c r="N53" s="19"/>
      <c r="O53" s="75"/>
      <c r="P53" s="19"/>
      <c r="Q53" s="75"/>
      <c r="R53" s="19"/>
      <c r="S53" s="75"/>
      <c r="T53" s="19"/>
      <c r="U53" s="75"/>
      <c r="V53" s="19"/>
      <c r="W53" s="75"/>
      <c r="X53" s="19"/>
      <c r="Y53" s="75"/>
      <c r="Z53" s="19"/>
      <c r="AA53" s="75"/>
      <c r="AB53" s="19"/>
    </row>
    <row r="54" spans="1:28">
      <c r="A54" s="2" t="s">
        <v>90</v>
      </c>
      <c r="B54" s="2" t="s">
        <v>96</v>
      </c>
      <c r="C54" s="71"/>
      <c r="D54" s="72"/>
      <c r="E54" s="73"/>
      <c r="F54" s="77"/>
      <c r="G54" s="73"/>
      <c r="H54" s="19"/>
      <c r="I54" s="73"/>
      <c r="J54" s="19"/>
      <c r="K54" s="75"/>
      <c r="L54" s="19"/>
      <c r="M54" s="75"/>
      <c r="N54" s="19"/>
      <c r="O54" s="75"/>
      <c r="P54" s="19"/>
      <c r="Q54" s="75"/>
      <c r="R54" s="19"/>
      <c r="S54" s="75"/>
      <c r="T54" s="19"/>
      <c r="U54" s="75"/>
      <c r="V54" s="19"/>
      <c r="W54" s="75"/>
      <c r="X54" s="19"/>
      <c r="Y54" s="75"/>
      <c r="Z54" s="19"/>
      <c r="AA54" s="75"/>
      <c r="AB54" s="19"/>
    </row>
    <row r="55" spans="1:28">
      <c r="A55" s="78" t="s">
        <v>97</v>
      </c>
      <c r="B55" s="78"/>
      <c r="C55" s="55"/>
      <c r="D55" s="51"/>
      <c r="E55" s="55"/>
      <c r="F55" s="51"/>
      <c r="G55" s="55"/>
      <c r="H55" s="51"/>
      <c r="I55" s="55"/>
      <c r="J55" s="54"/>
      <c r="K55" s="56"/>
      <c r="L55" s="54"/>
      <c r="M55" s="56" t="s">
        <v>42</v>
      </c>
      <c r="N55" s="54" t="s">
        <v>42</v>
      </c>
      <c r="O55" s="56" t="s">
        <v>42</v>
      </c>
      <c r="P55" s="54" t="s">
        <v>42</v>
      </c>
      <c r="Q55" s="56" t="s">
        <v>42</v>
      </c>
      <c r="R55" s="54" t="s">
        <v>42</v>
      </c>
      <c r="S55" s="56" t="s">
        <v>42</v>
      </c>
      <c r="T55" s="54" t="s">
        <v>42</v>
      </c>
      <c r="U55" s="56" t="s">
        <v>42</v>
      </c>
      <c r="V55" s="54" t="s">
        <v>42</v>
      </c>
      <c r="W55" s="56" t="s">
        <v>42</v>
      </c>
      <c r="X55" s="54" t="s">
        <v>42</v>
      </c>
      <c r="Y55" s="56" t="s">
        <v>42</v>
      </c>
      <c r="Z55" s="54" t="s">
        <v>42</v>
      </c>
      <c r="AA55" s="56" t="s">
        <v>42</v>
      </c>
      <c r="AB55" s="54" t="s">
        <v>42</v>
      </c>
    </row>
    <row r="56" spans="1:28">
      <c r="A56" s="2" t="s">
        <v>98</v>
      </c>
      <c r="B56" s="2" t="s">
        <v>99</v>
      </c>
      <c r="C56" s="71"/>
      <c r="D56" s="72"/>
      <c r="E56" s="79"/>
      <c r="F56" s="74"/>
      <c r="G56" s="79"/>
      <c r="H56" s="19"/>
      <c r="I56" s="79"/>
      <c r="J56" s="19"/>
      <c r="K56" s="80"/>
      <c r="L56" s="19"/>
      <c r="M56" s="80"/>
      <c r="N56" s="19"/>
      <c r="O56" s="80"/>
      <c r="P56" s="19"/>
      <c r="Q56" s="80"/>
      <c r="R56" s="19"/>
      <c r="S56" s="80"/>
      <c r="T56" s="19"/>
      <c r="U56" s="80"/>
      <c r="V56" s="19"/>
      <c r="W56" s="80"/>
      <c r="X56" s="19"/>
      <c r="Y56" s="80"/>
      <c r="Z56" s="19"/>
      <c r="AA56" s="80"/>
      <c r="AB56" s="19"/>
    </row>
    <row r="57" spans="1:28">
      <c r="A57" s="2" t="s">
        <v>98</v>
      </c>
      <c r="B57" s="2" t="s">
        <v>100</v>
      </c>
      <c r="C57" s="71"/>
      <c r="D57" s="72"/>
      <c r="E57" s="81"/>
      <c r="F57" s="74"/>
      <c r="G57" s="81"/>
      <c r="H57" s="19"/>
      <c r="I57" s="81"/>
      <c r="J57" s="19"/>
      <c r="K57" s="82"/>
      <c r="L57" s="19"/>
      <c r="M57" s="82"/>
      <c r="N57" s="19"/>
      <c r="O57" s="82"/>
      <c r="P57" s="19"/>
      <c r="Q57" s="82"/>
      <c r="R57" s="19"/>
      <c r="S57" s="82"/>
      <c r="T57" s="19"/>
      <c r="U57" s="82"/>
      <c r="V57" s="19"/>
      <c r="W57" s="82"/>
      <c r="X57" s="19"/>
      <c r="Y57" s="82"/>
      <c r="Z57" s="19"/>
      <c r="AA57" s="82"/>
      <c r="AB57" s="19"/>
    </row>
    <row r="58" spans="1:28">
      <c r="A58" s="2" t="s">
        <v>98</v>
      </c>
      <c r="B58" s="2" t="s">
        <v>101</v>
      </c>
      <c r="C58" s="71"/>
      <c r="D58" s="72"/>
      <c r="E58" s="81"/>
      <c r="F58" s="74"/>
      <c r="G58" s="81"/>
      <c r="H58" s="19"/>
      <c r="I58" s="81"/>
      <c r="J58" s="19"/>
      <c r="K58" s="82"/>
      <c r="L58" s="19"/>
      <c r="M58" s="82"/>
      <c r="N58" s="19"/>
      <c r="O58" s="82"/>
      <c r="P58" s="19"/>
      <c r="Q58" s="82"/>
      <c r="R58" s="19"/>
      <c r="S58" s="82"/>
      <c r="T58" s="19"/>
      <c r="U58" s="82"/>
      <c r="V58" s="19"/>
      <c r="W58" s="82"/>
      <c r="X58" s="19"/>
      <c r="Y58" s="82"/>
      <c r="Z58" s="19"/>
      <c r="AA58" s="82"/>
      <c r="AB58" s="19"/>
    </row>
    <row r="59" spans="1:28">
      <c r="A59" s="2" t="s">
        <v>98</v>
      </c>
      <c r="B59" s="2" t="s">
        <v>102</v>
      </c>
      <c r="C59" s="71"/>
      <c r="D59" s="72"/>
      <c r="E59" s="81"/>
      <c r="F59" s="74"/>
      <c r="G59" s="81"/>
      <c r="H59" s="19"/>
      <c r="I59" s="81"/>
      <c r="J59" s="19"/>
      <c r="K59" s="82"/>
      <c r="L59" s="19"/>
      <c r="M59" s="82"/>
      <c r="N59" s="19"/>
      <c r="O59" s="82"/>
      <c r="P59" s="19"/>
      <c r="Q59" s="82"/>
      <c r="R59" s="19"/>
      <c r="S59" s="82"/>
      <c r="T59" s="19"/>
      <c r="U59" s="82"/>
      <c r="V59" s="19"/>
      <c r="W59" s="82"/>
      <c r="X59" s="19"/>
      <c r="Y59" s="82"/>
      <c r="Z59" s="19"/>
      <c r="AA59" s="82"/>
      <c r="AB59" s="19"/>
    </row>
    <row r="60" spans="1:28">
      <c r="A60" s="2" t="s">
        <v>98</v>
      </c>
      <c r="B60" s="2" t="s">
        <v>103</v>
      </c>
      <c r="C60" s="71"/>
      <c r="D60" s="83"/>
      <c r="E60" s="82"/>
      <c r="F60" s="19"/>
      <c r="G60" s="82"/>
      <c r="H60" s="19"/>
      <c r="I60" s="81"/>
      <c r="J60" s="19"/>
      <c r="K60" s="82"/>
      <c r="L60" s="19"/>
      <c r="M60" s="82"/>
      <c r="N60" s="19"/>
      <c r="O60" s="82"/>
      <c r="P60" s="19"/>
      <c r="Q60" s="82"/>
      <c r="R60" s="19"/>
      <c r="S60" s="82"/>
      <c r="T60" s="19"/>
      <c r="U60" s="82"/>
      <c r="V60" s="19"/>
      <c r="W60" s="82"/>
      <c r="X60" s="19"/>
      <c r="Y60" s="82"/>
      <c r="Z60" s="19"/>
      <c r="AA60" s="82"/>
      <c r="AB60" s="19"/>
    </row>
    <row r="61" spans="1:28">
      <c r="A61" s="2" t="s">
        <v>98</v>
      </c>
      <c r="B61" s="2" t="s">
        <v>104</v>
      </c>
      <c r="C61" s="84"/>
      <c r="D61" s="83"/>
      <c r="E61" s="82"/>
      <c r="F61" s="19"/>
      <c r="G61" s="82"/>
      <c r="H61" s="19"/>
      <c r="I61" s="82"/>
      <c r="J61" s="19"/>
      <c r="K61" s="82"/>
      <c r="L61" s="19"/>
      <c r="M61" s="82"/>
      <c r="N61" s="19"/>
      <c r="O61" s="82"/>
      <c r="P61" s="19"/>
      <c r="Q61" s="82"/>
      <c r="R61" s="19"/>
      <c r="S61" s="82"/>
      <c r="T61" s="19"/>
      <c r="U61" s="82"/>
      <c r="V61" s="19"/>
      <c r="W61" s="82"/>
      <c r="X61" s="19"/>
      <c r="Y61" s="82"/>
      <c r="Z61" s="19"/>
      <c r="AA61" s="82"/>
      <c r="AB61" s="19"/>
    </row>
    <row r="62" spans="1:28">
      <c r="A62" s="2" t="s">
        <v>98</v>
      </c>
      <c r="B62" s="2" t="s">
        <v>105</v>
      </c>
      <c r="C62" s="71"/>
      <c r="D62" s="72"/>
      <c r="E62" s="85"/>
      <c r="F62" s="74"/>
      <c r="G62" s="85"/>
      <c r="H62" s="19"/>
      <c r="I62" s="85"/>
      <c r="J62" s="19"/>
      <c r="K62" s="18"/>
      <c r="L62" s="19"/>
      <c r="M62" s="18"/>
      <c r="N62" s="19"/>
      <c r="O62" s="18"/>
      <c r="P62" s="19"/>
      <c r="Q62" s="18"/>
      <c r="R62" s="19"/>
      <c r="S62" s="18"/>
      <c r="T62" s="19"/>
      <c r="U62" s="18"/>
      <c r="V62" s="19"/>
      <c r="W62" s="18"/>
      <c r="X62" s="19"/>
      <c r="Y62" s="18"/>
      <c r="Z62" s="19"/>
      <c r="AA62" s="18"/>
      <c r="AB62" s="19"/>
    </row>
    <row r="63" spans="1:28">
      <c r="A63" s="2" t="s">
        <v>98</v>
      </c>
      <c r="B63" s="2" t="s">
        <v>106</v>
      </c>
      <c r="C63" s="71"/>
      <c r="D63" s="72"/>
      <c r="E63" s="85"/>
      <c r="F63" s="74"/>
      <c r="G63" s="85"/>
      <c r="H63" s="19"/>
      <c r="I63" s="85"/>
      <c r="J63" s="19"/>
      <c r="K63" s="85"/>
      <c r="L63" s="19"/>
      <c r="M63" s="85"/>
      <c r="N63" s="19"/>
      <c r="O63" s="18"/>
      <c r="P63" s="19"/>
      <c r="Q63" s="18"/>
      <c r="R63" s="19"/>
      <c r="S63" s="18"/>
      <c r="T63" s="19"/>
      <c r="U63" s="18"/>
      <c r="V63" s="19"/>
      <c r="W63" s="18"/>
      <c r="X63" s="19"/>
      <c r="Y63" s="18"/>
      <c r="Z63" s="19"/>
      <c r="AA63" s="18"/>
      <c r="AB63" s="19"/>
    </row>
    <row r="64" spans="1:28">
      <c r="A64" s="2" t="s">
        <v>98</v>
      </c>
      <c r="B64" s="2" t="s">
        <v>107</v>
      </c>
      <c r="C64" s="71"/>
      <c r="D64" s="83"/>
      <c r="E64" s="18"/>
      <c r="F64" s="19"/>
      <c r="G64" s="18"/>
      <c r="H64" s="19"/>
      <c r="I64" s="85"/>
      <c r="J64" s="19"/>
      <c r="K64" s="18"/>
      <c r="L64" s="19"/>
      <c r="M64" s="18"/>
      <c r="N64" s="19"/>
      <c r="O64" s="18"/>
      <c r="P64" s="19"/>
      <c r="Q64" s="18"/>
      <c r="R64" s="19"/>
      <c r="S64" s="18"/>
      <c r="T64" s="19"/>
      <c r="U64" s="18"/>
      <c r="V64" s="19"/>
      <c r="W64" s="18"/>
      <c r="X64" s="19"/>
      <c r="Y64" s="18"/>
      <c r="Z64" s="19"/>
      <c r="AA64" s="18"/>
      <c r="AB64" s="19"/>
    </row>
    <row r="65" spans="1:28">
      <c r="A65" s="78" t="s">
        <v>108</v>
      </c>
      <c r="B65" s="78"/>
      <c r="C65" s="55"/>
      <c r="D65" s="51"/>
      <c r="E65" s="55"/>
      <c r="F65" s="51"/>
      <c r="G65" s="55"/>
      <c r="H65" s="54"/>
      <c r="I65" s="55"/>
      <c r="J65" s="54"/>
      <c r="K65" s="55"/>
      <c r="L65" s="54"/>
      <c r="M65" s="55">
        <v>641666</v>
      </c>
      <c r="N65" s="54" t="s">
        <v>42</v>
      </c>
      <c r="O65" s="56" t="s">
        <v>42</v>
      </c>
      <c r="P65" s="54" t="s">
        <v>42</v>
      </c>
      <c r="Q65" s="56" t="s">
        <v>42</v>
      </c>
      <c r="R65" s="54" t="s">
        <v>42</v>
      </c>
      <c r="S65" s="56" t="s">
        <v>42</v>
      </c>
      <c r="T65" s="54" t="s">
        <v>42</v>
      </c>
      <c r="U65" s="56" t="s">
        <v>42</v>
      </c>
      <c r="V65" s="54" t="s">
        <v>42</v>
      </c>
      <c r="W65" s="56" t="s">
        <v>42</v>
      </c>
      <c r="X65" s="54" t="s">
        <v>42</v>
      </c>
      <c r="Y65" s="56" t="s">
        <v>42</v>
      </c>
      <c r="Z65" s="54" t="s">
        <v>42</v>
      </c>
      <c r="AA65" s="56" t="s">
        <v>42</v>
      </c>
      <c r="AB65" s="54" t="s">
        <v>42</v>
      </c>
    </row>
    <row r="66" spans="1:28">
      <c r="A66" s="15" t="s">
        <v>109</v>
      </c>
      <c r="B66" s="15" t="s">
        <v>110</v>
      </c>
      <c r="C66" s="71"/>
      <c r="D66" s="72"/>
      <c r="E66" s="85"/>
      <c r="F66" s="74"/>
      <c r="G66" s="85"/>
      <c r="H66" s="19"/>
      <c r="I66" s="85"/>
      <c r="J66" s="19"/>
      <c r="K66" s="18"/>
      <c r="L66" s="19"/>
      <c r="M66" s="18"/>
      <c r="N66" s="19"/>
      <c r="O66" s="18"/>
      <c r="P66" s="19"/>
      <c r="Q66" s="18"/>
      <c r="R66" s="19"/>
      <c r="S66" s="18"/>
      <c r="T66" s="19"/>
      <c r="U66" s="18"/>
      <c r="V66" s="19"/>
      <c r="W66" s="18"/>
      <c r="X66" s="19"/>
      <c r="Y66" s="18"/>
      <c r="Z66" s="19"/>
      <c r="AA66" s="18"/>
      <c r="AB66" s="19"/>
    </row>
    <row r="67" spans="1:28">
      <c r="A67" s="15" t="s">
        <v>109</v>
      </c>
      <c r="B67" s="15" t="s">
        <v>111</v>
      </c>
      <c r="C67" s="84"/>
      <c r="D67" s="83"/>
      <c r="E67" s="18"/>
      <c r="F67" s="19"/>
      <c r="G67" s="18"/>
      <c r="H67" s="19"/>
      <c r="I67" s="18"/>
      <c r="J67" s="19"/>
      <c r="K67" s="18"/>
      <c r="L67" s="19"/>
      <c r="M67" s="18"/>
      <c r="N67" s="19"/>
      <c r="O67" s="18"/>
      <c r="P67" s="19"/>
      <c r="Q67" s="18"/>
      <c r="R67" s="19"/>
      <c r="S67" s="18"/>
      <c r="T67" s="19"/>
      <c r="U67" s="18"/>
      <c r="V67" s="19"/>
      <c r="W67" s="18"/>
      <c r="X67" s="19"/>
      <c r="Y67" s="18"/>
      <c r="Z67" s="19"/>
      <c r="AA67" s="18"/>
      <c r="AB67" s="19"/>
    </row>
    <row r="68" spans="1:28">
      <c r="A68" s="15" t="s">
        <v>109</v>
      </c>
      <c r="B68" s="15" t="s">
        <v>112</v>
      </c>
      <c r="C68" s="84"/>
      <c r="D68" s="83"/>
      <c r="E68" s="18"/>
      <c r="F68" s="19"/>
      <c r="G68" s="18"/>
      <c r="H68" s="19"/>
      <c r="I68" s="18"/>
      <c r="J68" s="19"/>
      <c r="K68" s="18"/>
      <c r="L68" s="19"/>
      <c r="M68" s="18"/>
      <c r="N68" s="19"/>
      <c r="O68" s="18"/>
      <c r="P68" s="19"/>
      <c r="Q68" s="18"/>
      <c r="R68" s="19"/>
      <c r="S68" s="18"/>
      <c r="T68" s="19"/>
      <c r="U68" s="18"/>
      <c r="V68" s="19"/>
      <c r="W68" s="18"/>
      <c r="X68" s="19"/>
      <c r="Y68" s="18"/>
      <c r="Z68" s="19"/>
      <c r="AA68" s="18"/>
      <c r="AB68" s="19"/>
    </row>
    <row r="69" spans="1:28">
      <c r="A69" s="15" t="s">
        <v>109</v>
      </c>
      <c r="B69" s="15" t="s">
        <v>113</v>
      </c>
      <c r="C69" s="84"/>
      <c r="D69" s="83"/>
      <c r="E69" s="18"/>
      <c r="F69" s="19"/>
      <c r="G69" s="18"/>
      <c r="H69" s="19"/>
      <c r="I69" s="18"/>
      <c r="J69" s="19"/>
      <c r="K69" s="18"/>
      <c r="L69" s="19"/>
      <c r="M69" s="18"/>
      <c r="N69" s="19"/>
      <c r="O69" s="18"/>
      <c r="P69" s="19"/>
      <c r="Q69" s="18"/>
      <c r="R69" s="19"/>
      <c r="S69" s="18"/>
      <c r="T69" s="19"/>
      <c r="U69" s="18"/>
      <c r="V69" s="19"/>
      <c r="W69" s="18"/>
      <c r="X69" s="19"/>
      <c r="Y69" s="18"/>
      <c r="Z69" s="19"/>
      <c r="AA69" s="18"/>
      <c r="AB69" s="19"/>
    </row>
    <row r="70" spans="1:28">
      <c r="A70" s="15" t="s">
        <v>109</v>
      </c>
      <c r="B70" s="15" t="s">
        <v>114</v>
      </c>
      <c r="C70" s="84"/>
      <c r="D70" s="83"/>
      <c r="E70" s="18"/>
      <c r="F70" s="19"/>
      <c r="G70" s="18"/>
      <c r="H70" s="19"/>
      <c r="I70" s="18"/>
      <c r="J70" s="19"/>
      <c r="K70" s="18"/>
      <c r="L70" s="19"/>
      <c r="M70" s="18"/>
      <c r="N70" s="19"/>
      <c r="O70" s="18"/>
      <c r="P70" s="19"/>
      <c r="Q70" s="18"/>
      <c r="R70" s="19"/>
      <c r="S70" s="18"/>
      <c r="T70" s="19"/>
      <c r="U70" s="18"/>
      <c r="V70" s="19"/>
      <c r="W70" s="18"/>
      <c r="X70" s="19"/>
      <c r="Y70" s="18"/>
      <c r="Z70" s="19"/>
      <c r="AA70" s="18"/>
      <c r="AB70" s="19"/>
    </row>
    <row r="71" spans="1:28">
      <c r="A71" s="15" t="s">
        <v>109</v>
      </c>
      <c r="B71" s="15" t="s">
        <v>115</v>
      </c>
      <c r="C71" s="71"/>
      <c r="D71" s="72"/>
      <c r="E71" s="85"/>
      <c r="F71" s="74"/>
      <c r="G71" s="85"/>
      <c r="H71" s="19"/>
      <c r="I71" s="18"/>
      <c r="J71" s="19"/>
      <c r="K71" s="18"/>
      <c r="L71" s="19"/>
      <c r="M71" s="18"/>
      <c r="N71" s="19"/>
      <c r="O71" s="18"/>
      <c r="P71" s="19"/>
      <c r="Q71" s="18"/>
      <c r="R71" s="19"/>
      <c r="S71" s="18"/>
      <c r="T71" s="19"/>
      <c r="U71" s="18"/>
      <c r="V71" s="19"/>
      <c r="W71" s="18"/>
      <c r="X71" s="19"/>
      <c r="Y71" s="18"/>
      <c r="Z71" s="19"/>
      <c r="AA71" s="18"/>
      <c r="AB71" s="19"/>
    </row>
    <row r="72" spans="1:28">
      <c r="A72" s="15" t="s">
        <v>116</v>
      </c>
      <c r="B72" s="15" t="s">
        <v>117</v>
      </c>
      <c r="C72" s="84"/>
      <c r="D72" s="72"/>
      <c r="E72" s="18"/>
      <c r="F72" s="74"/>
      <c r="G72" s="18"/>
      <c r="H72" s="19"/>
      <c r="I72" s="18"/>
      <c r="J72" s="19"/>
      <c r="K72" s="18"/>
      <c r="L72" s="19"/>
      <c r="M72" s="18"/>
      <c r="N72" s="19"/>
      <c r="O72" s="18"/>
      <c r="P72" s="19"/>
      <c r="Q72" s="18"/>
      <c r="R72" s="19"/>
      <c r="S72" s="18"/>
      <c r="T72" s="19"/>
      <c r="U72" s="18"/>
      <c r="V72" s="19"/>
      <c r="W72" s="18"/>
      <c r="X72" s="19"/>
      <c r="Y72" s="18"/>
      <c r="Z72" s="19"/>
      <c r="AA72" s="18"/>
      <c r="AB72" s="19"/>
    </row>
    <row r="73" spans="1:28">
      <c r="A73" s="15" t="s">
        <v>116</v>
      </c>
      <c r="B73" s="15" t="s">
        <v>118</v>
      </c>
      <c r="C73" s="71"/>
      <c r="D73" s="83"/>
      <c r="E73" s="85"/>
      <c r="F73" s="19"/>
      <c r="G73" s="18"/>
      <c r="H73" s="19"/>
      <c r="I73" s="18"/>
      <c r="J73" s="19"/>
      <c r="K73" s="18"/>
      <c r="L73" s="19"/>
      <c r="M73" s="18"/>
      <c r="N73" s="19"/>
      <c r="O73" s="18"/>
      <c r="P73" s="19"/>
      <c r="Q73" s="18"/>
      <c r="R73" s="19"/>
      <c r="S73" s="18"/>
      <c r="T73" s="19"/>
      <c r="U73" s="18"/>
      <c r="V73" s="19"/>
      <c r="W73" s="18"/>
      <c r="X73" s="19"/>
      <c r="Y73" s="18"/>
      <c r="Z73" s="19"/>
      <c r="AA73" s="18"/>
      <c r="AB73" s="19"/>
    </row>
    <row r="74" spans="1:28">
      <c r="A74" s="15" t="s">
        <v>116</v>
      </c>
      <c r="B74" s="15" t="s">
        <v>119</v>
      </c>
      <c r="C74" s="84"/>
      <c r="D74" s="83"/>
      <c r="E74" s="18"/>
      <c r="F74" s="19"/>
      <c r="G74" s="18"/>
      <c r="H74" s="19"/>
      <c r="I74" s="18"/>
      <c r="J74" s="19"/>
      <c r="K74" s="18"/>
      <c r="L74" s="19"/>
      <c r="M74" s="18"/>
      <c r="N74" s="19"/>
      <c r="O74" s="18"/>
      <c r="P74" s="19"/>
      <c r="Q74" s="18"/>
      <c r="R74" s="19"/>
      <c r="S74" s="18"/>
      <c r="T74" s="19"/>
      <c r="U74" s="18"/>
      <c r="V74" s="19"/>
      <c r="W74" s="18"/>
      <c r="X74" s="19"/>
      <c r="Y74" s="18"/>
      <c r="Z74" s="19"/>
      <c r="AA74" s="18"/>
      <c r="AB74" s="19"/>
    </row>
    <row r="75" spans="1:28">
      <c r="A75" s="15" t="s">
        <v>116</v>
      </c>
      <c r="B75" s="15" t="s">
        <v>120</v>
      </c>
      <c r="C75" s="84"/>
      <c r="D75" s="83"/>
      <c r="E75" s="18"/>
      <c r="F75" s="19"/>
      <c r="G75" s="18"/>
      <c r="H75" s="19"/>
      <c r="I75" s="18"/>
      <c r="J75" s="19"/>
      <c r="K75" s="18"/>
      <c r="L75" s="19"/>
      <c r="M75" s="18"/>
      <c r="N75" s="19"/>
      <c r="O75" s="18"/>
      <c r="P75" s="19"/>
      <c r="Q75" s="18"/>
      <c r="R75" s="19"/>
      <c r="S75" s="18"/>
      <c r="T75" s="19"/>
      <c r="U75" s="18"/>
      <c r="V75" s="19"/>
      <c r="W75" s="18"/>
      <c r="X75" s="19"/>
      <c r="Y75" s="18"/>
      <c r="Z75" s="19"/>
      <c r="AA75" s="18"/>
      <c r="AB75" s="19"/>
    </row>
    <row r="76" spans="1:28">
      <c r="A76" s="78" t="s">
        <v>121</v>
      </c>
      <c r="B76" s="78"/>
      <c r="C76" s="55"/>
      <c r="D76" s="51"/>
      <c r="E76" s="55"/>
      <c r="F76" s="51"/>
      <c r="G76" s="55"/>
      <c r="H76" s="54"/>
      <c r="I76" s="55"/>
      <c r="J76" s="54"/>
      <c r="K76" s="56"/>
      <c r="L76" s="54"/>
      <c r="M76" s="56" t="s">
        <v>42</v>
      </c>
      <c r="N76" s="54" t="s">
        <v>42</v>
      </c>
      <c r="O76" s="86" t="s">
        <v>42</v>
      </c>
      <c r="P76" s="54" t="s">
        <v>42</v>
      </c>
      <c r="Q76" s="56" t="s">
        <v>42</v>
      </c>
      <c r="R76" s="54" t="s">
        <v>42</v>
      </c>
      <c r="S76" s="56" t="s">
        <v>42</v>
      </c>
      <c r="T76" s="54" t="s">
        <v>42</v>
      </c>
      <c r="U76" s="87" t="s">
        <v>42</v>
      </c>
      <c r="V76" s="88" t="s">
        <v>42</v>
      </c>
      <c r="W76" s="89" t="s">
        <v>42</v>
      </c>
      <c r="X76" s="54" t="s">
        <v>42</v>
      </c>
      <c r="Y76" s="56" t="s">
        <v>42</v>
      </c>
      <c r="Z76" s="54" t="s">
        <v>42</v>
      </c>
      <c r="AA76" s="56" t="s">
        <v>42</v>
      </c>
      <c r="AB76" s="54" t="s">
        <v>42</v>
      </c>
    </row>
    <row r="77" spans="1:28">
      <c r="A77" s="2" t="s">
        <v>122</v>
      </c>
      <c r="B77" s="2" t="s">
        <v>123</v>
      </c>
      <c r="C77" s="71"/>
      <c r="D77" s="72"/>
      <c r="E77" s="85"/>
      <c r="F77" s="74"/>
      <c r="G77" s="85"/>
      <c r="H77" s="19"/>
      <c r="I77" s="85"/>
      <c r="J77" s="19"/>
      <c r="K77" s="18"/>
      <c r="L77" s="31"/>
      <c r="M77" s="18"/>
      <c r="N77" s="19"/>
      <c r="O77" s="18"/>
      <c r="P77" s="19"/>
      <c r="Q77" s="18"/>
      <c r="R77" s="19"/>
      <c r="S77" s="18"/>
      <c r="T77" s="90"/>
      <c r="U77" s="18"/>
      <c r="V77" s="19"/>
      <c r="W77" s="18"/>
      <c r="X77" s="19"/>
      <c r="Y77" s="18"/>
      <c r="Z77" s="19"/>
      <c r="AA77" s="18"/>
      <c r="AB77" s="19"/>
    </row>
    <row r="78" spans="1:28">
      <c r="A78" s="2" t="s">
        <v>122</v>
      </c>
      <c r="B78" s="2" t="s">
        <v>124</v>
      </c>
      <c r="C78" s="71"/>
      <c r="D78" s="72"/>
      <c r="E78" s="91"/>
      <c r="F78" s="77"/>
      <c r="G78" s="91"/>
      <c r="H78" s="28"/>
      <c r="I78" s="91"/>
      <c r="J78" s="28"/>
      <c r="K78" s="22"/>
      <c r="L78" s="28"/>
      <c r="M78" s="18"/>
      <c r="N78" s="28"/>
      <c r="O78" s="18"/>
      <c r="P78" s="28"/>
      <c r="Q78" s="18"/>
      <c r="R78" s="19"/>
      <c r="S78" s="18"/>
      <c r="T78" s="19"/>
      <c r="U78" s="18"/>
      <c r="V78" s="19"/>
      <c r="W78" s="18"/>
      <c r="X78" s="19"/>
      <c r="Y78" s="18"/>
      <c r="Z78" s="19"/>
      <c r="AA78" s="18"/>
      <c r="AB78" s="19"/>
    </row>
    <row r="79" spans="1:28">
      <c r="A79" s="2" t="s">
        <v>122</v>
      </c>
      <c r="B79" s="2" t="s">
        <v>125</v>
      </c>
      <c r="C79" s="84"/>
      <c r="D79" s="83"/>
      <c r="E79" s="92"/>
      <c r="F79" s="31"/>
      <c r="G79" s="92"/>
      <c r="H79" s="31"/>
      <c r="I79" s="92"/>
      <c r="J79" s="31"/>
      <c r="K79" s="92"/>
      <c r="L79" s="31"/>
      <c r="M79" s="18"/>
      <c r="N79" s="31"/>
      <c r="O79" s="18"/>
      <c r="P79" s="31"/>
      <c r="Q79" s="18"/>
      <c r="R79" s="19"/>
      <c r="S79" s="18"/>
      <c r="T79" s="19"/>
      <c r="U79" s="18"/>
      <c r="V79" s="19"/>
      <c r="W79" s="18"/>
      <c r="X79" s="19"/>
      <c r="Y79" s="18"/>
      <c r="Z79" s="19"/>
      <c r="AA79" s="18"/>
      <c r="AB79" s="19"/>
    </row>
    <row r="80" spans="1:28">
      <c r="A80" s="2" t="s">
        <v>122</v>
      </c>
      <c r="B80" s="2" t="s">
        <v>126</v>
      </c>
      <c r="C80" s="84"/>
      <c r="D80" s="83"/>
      <c r="E80" s="18"/>
      <c r="F80" s="19"/>
      <c r="G80" s="18"/>
      <c r="H80" s="19"/>
      <c r="I80" s="18"/>
      <c r="J80" s="19"/>
      <c r="K80" s="18"/>
      <c r="L80" s="19"/>
      <c r="M80" s="18"/>
      <c r="N80" s="19"/>
      <c r="O80" s="18"/>
      <c r="P80" s="19"/>
      <c r="Q80" s="18"/>
      <c r="R80" s="19"/>
      <c r="S80" s="18"/>
      <c r="T80" s="19"/>
      <c r="U80" s="18"/>
      <c r="V80" s="19"/>
      <c r="W80" s="18"/>
      <c r="X80" s="19"/>
      <c r="Y80" s="18"/>
      <c r="Z80" s="19"/>
      <c r="AA80" s="18"/>
      <c r="AB80" s="19"/>
    </row>
    <row r="81" spans="1:28">
      <c r="A81" s="2" t="s">
        <v>122</v>
      </c>
      <c r="B81" s="2" t="s">
        <v>127</v>
      </c>
      <c r="C81" s="84"/>
      <c r="D81" s="83"/>
      <c r="E81" s="18"/>
      <c r="F81" s="19"/>
      <c r="G81" s="18"/>
      <c r="H81" s="19"/>
      <c r="I81" s="18"/>
      <c r="J81" s="19"/>
      <c r="K81" s="18"/>
      <c r="L81" s="19"/>
      <c r="M81" s="18"/>
      <c r="N81" s="19"/>
      <c r="O81" s="18"/>
      <c r="P81" s="19"/>
      <c r="Q81" s="18"/>
      <c r="R81" s="19"/>
      <c r="S81" s="18"/>
      <c r="T81" s="19"/>
      <c r="U81" s="18"/>
      <c r="V81" s="19"/>
      <c r="W81" s="18"/>
      <c r="X81" s="19"/>
      <c r="Y81" s="18"/>
      <c r="Z81" s="19"/>
      <c r="AA81" s="18"/>
      <c r="AB81" s="19"/>
    </row>
    <row r="82" spans="1:28">
      <c r="A82" s="78" t="s">
        <v>128</v>
      </c>
      <c r="B82" s="78"/>
      <c r="C82" s="55"/>
      <c r="D82" s="51"/>
      <c r="E82" s="55"/>
      <c r="F82" s="51"/>
      <c r="G82" s="55"/>
      <c r="H82" s="54"/>
      <c r="I82" s="55"/>
      <c r="J82" s="54"/>
      <c r="K82" s="56"/>
      <c r="L82" s="54"/>
      <c r="M82" s="56" t="s">
        <v>42</v>
      </c>
      <c r="N82" s="54" t="s">
        <v>42</v>
      </c>
      <c r="O82" s="56" t="s">
        <v>42</v>
      </c>
      <c r="P82" s="54" t="s">
        <v>42</v>
      </c>
      <c r="Q82" s="56" t="s">
        <v>42</v>
      </c>
      <c r="R82" s="54" t="s">
        <v>42</v>
      </c>
      <c r="S82" s="56" t="s">
        <v>42</v>
      </c>
      <c r="T82" s="54" t="s">
        <v>42</v>
      </c>
      <c r="U82" s="56" t="s">
        <v>42</v>
      </c>
      <c r="V82" s="54" t="s">
        <v>42</v>
      </c>
      <c r="W82" s="56" t="s">
        <v>42</v>
      </c>
      <c r="X82" s="54" t="s">
        <v>42</v>
      </c>
      <c r="Y82" s="56" t="s">
        <v>42</v>
      </c>
      <c r="Z82" s="54" t="s">
        <v>42</v>
      </c>
      <c r="AA82" s="56" t="s">
        <v>42</v>
      </c>
      <c r="AB82" s="54" t="s">
        <v>42</v>
      </c>
    </row>
    <row r="83" spans="1:28">
      <c r="A83" s="2" t="s">
        <v>129</v>
      </c>
      <c r="B83" s="2" t="s">
        <v>130</v>
      </c>
      <c r="C83" s="71"/>
      <c r="D83" s="72"/>
      <c r="E83" s="85"/>
      <c r="F83" s="74"/>
      <c r="G83" s="85"/>
      <c r="H83" s="19"/>
      <c r="I83" s="85"/>
      <c r="J83" s="19"/>
      <c r="K83" s="18"/>
      <c r="L83" s="19"/>
      <c r="M83" s="18"/>
      <c r="N83" s="90"/>
      <c r="O83" s="18"/>
      <c r="P83" s="19"/>
      <c r="Q83" s="18"/>
      <c r="R83" s="19"/>
      <c r="S83" s="93"/>
      <c r="T83" s="19"/>
      <c r="U83" s="18"/>
      <c r="V83" s="94"/>
      <c r="W83" s="18"/>
      <c r="X83" s="19"/>
      <c r="Y83" s="18"/>
      <c r="Z83" s="19"/>
      <c r="AA83" s="18"/>
      <c r="AB83" s="19"/>
    </row>
    <row r="84" spans="1:28">
      <c r="A84" s="2" t="s">
        <v>129</v>
      </c>
      <c r="B84" s="2" t="s">
        <v>131</v>
      </c>
      <c r="C84" s="71"/>
      <c r="D84" s="72"/>
      <c r="E84" s="85"/>
      <c r="F84" s="74"/>
      <c r="G84" s="85"/>
      <c r="H84" s="19"/>
      <c r="I84" s="85"/>
      <c r="J84" s="19"/>
      <c r="K84" s="18"/>
      <c r="L84" s="19"/>
      <c r="M84" s="18"/>
      <c r="N84" s="90"/>
      <c r="O84" s="18"/>
      <c r="P84" s="19"/>
      <c r="Q84" s="18"/>
      <c r="R84" s="19"/>
      <c r="S84" s="93"/>
      <c r="T84" s="19"/>
      <c r="U84" s="18"/>
      <c r="V84" s="94"/>
      <c r="W84" s="18"/>
      <c r="X84" s="19"/>
      <c r="Y84" s="18"/>
      <c r="Z84" s="19"/>
      <c r="AA84" s="18"/>
      <c r="AB84" s="19"/>
    </row>
    <row r="85" spans="1:28">
      <c r="A85" s="2" t="s">
        <v>129</v>
      </c>
      <c r="B85" s="2" t="s">
        <v>132</v>
      </c>
      <c r="C85" s="71"/>
      <c r="D85" s="72"/>
      <c r="E85" s="18"/>
      <c r="F85" s="74"/>
      <c r="G85" s="18"/>
      <c r="H85" s="19"/>
      <c r="I85" s="85"/>
      <c r="J85" s="19"/>
      <c r="K85" s="18"/>
      <c r="L85" s="19"/>
      <c r="M85" s="18"/>
      <c r="N85" s="19"/>
      <c r="O85" s="18"/>
      <c r="P85" s="19"/>
      <c r="Q85" s="18"/>
      <c r="R85" s="19"/>
      <c r="S85" s="18"/>
      <c r="T85" s="19"/>
      <c r="U85" s="95"/>
      <c r="V85" s="19"/>
      <c r="W85" s="18"/>
      <c r="X85" s="19"/>
      <c r="Y85" s="18"/>
      <c r="Z85" s="19"/>
      <c r="AA85" s="18"/>
      <c r="AB85" s="19"/>
    </row>
    <row r="86" spans="1:28">
      <c r="A86" s="2" t="s">
        <v>129</v>
      </c>
      <c r="B86" s="2" t="s">
        <v>133</v>
      </c>
      <c r="C86" s="71"/>
      <c r="D86" s="72"/>
      <c r="E86" s="85"/>
      <c r="F86" s="74"/>
      <c r="G86" s="85"/>
      <c r="H86" s="19"/>
      <c r="I86" s="85"/>
      <c r="J86" s="19"/>
      <c r="K86" s="18"/>
      <c r="L86" s="19"/>
      <c r="M86" s="18"/>
      <c r="N86" s="19"/>
      <c r="O86" s="18"/>
      <c r="P86" s="19"/>
      <c r="Q86" s="18"/>
      <c r="R86" s="19"/>
      <c r="S86" s="18"/>
      <c r="T86" s="19"/>
      <c r="U86" s="95"/>
      <c r="V86" s="96"/>
      <c r="W86" s="18"/>
      <c r="X86" s="19"/>
      <c r="Y86" s="18"/>
      <c r="Z86" s="19"/>
      <c r="AA86" s="18"/>
      <c r="AB86" s="19"/>
    </row>
    <row r="87" spans="1:28">
      <c r="A87" s="2" t="s">
        <v>129</v>
      </c>
      <c r="B87" s="2" t="s">
        <v>134</v>
      </c>
      <c r="C87" s="71"/>
      <c r="D87" s="72"/>
      <c r="E87" s="85"/>
      <c r="F87" s="74"/>
      <c r="G87" s="85"/>
      <c r="H87" s="19"/>
      <c r="I87" s="85"/>
      <c r="J87" s="19"/>
      <c r="K87" s="18"/>
      <c r="L87" s="19"/>
      <c r="M87" s="18"/>
      <c r="N87" s="19"/>
      <c r="O87" s="18"/>
      <c r="P87" s="19"/>
      <c r="Q87" s="18"/>
      <c r="R87" s="19"/>
      <c r="S87" s="18"/>
      <c r="T87" s="19"/>
      <c r="U87" s="95"/>
      <c r="V87" s="19"/>
      <c r="W87" s="18"/>
      <c r="X87" s="19"/>
      <c r="Y87" s="18"/>
      <c r="Z87" s="19"/>
      <c r="AA87" s="18"/>
      <c r="AB87" s="19"/>
    </row>
    <row r="88" spans="1:28">
      <c r="A88" s="2" t="s">
        <v>129</v>
      </c>
      <c r="B88" s="2" t="s">
        <v>135</v>
      </c>
      <c r="C88" s="71"/>
      <c r="D88" s="72"/>
      <c r="E88" s="85"/>
      <c r="F88" s="74"/>
      <c r="G88" s="85"/>
      <c r="H88" s="19"/>
      <c r="I88" s="85"/>
      <c r="J88" s="19"/>
      <c r="K88" s="18"/>
      <c r="L88" s="19"/>
      <c r="M88" s="18"/>
      <c r="N88" s="19"/>
      <c r="O88" s="18"/>
      <c r="P88" s="19"/>
      <c r="Q88" s="18"/>
      <c r="R88" s="19"/>
      <c r="S88" s="18"/>
      <c r="T88" s="19"/>
      <c r="U88" s="95"/>
      <c r="V88" s="19"/>
      <c r="W88" s="18"/>
      <c r="X88" s="19"/>
      <c r="Y88" s="18"/>
      <c r="Z88" s="19"/>
      <c r="AA88" s="18"/>
      <c r="AB88" s="19"/>
    </row>
    <row r="89" spans="1:28">
      <c r="A89" s="2" t="s">
        <v>129</v>
      </c>
      <c r="B89" s="2" t="s">
        <v>136</v>
      </c>
      <c r="C89" s="71"/>
      <c r="D89" s="72"/>
      <c r="E89" s="85"/>
      <c r="F89" s="74"/>
      <c r="G89" s="85"/>
      <c r="H89" s="19"/>
      <c r="I89" s="85"/>
      <c r="J89" s="19"/>
      <c r="K89" s="18"/>
      <c r="L89" s="19"/>
      <c r="M89" s="18"/>
      <c r="N89" s="19"/>
      <c r="O89" s="18"/>
      <c r="P89" s="19"/>
      <c r="Q89" s="18"/>
      <c r="R89" s="19"/>
      <c r="S89" s="18"/>
      <c r="T89" s="19"/>
      <c r="U89" s="95"/>
      <c r="V89" s="19"/>
      <c r="W89" s="18"/>
      <c r="X89" s="19"/>
      <c r="Y89" s="18"/>
      <c r="Z89" s="19"/>
      <c r="AA89" s="18"/>
      <c r="AB89" s="19"/>
    </row>
    <row r="90" spans="1:28">
      <c r="A90" s="78" t="s">
        <v>137</v>
      </c>
      <c r="B90" s="78"/>
      <c r="C90" s="55"/>
      <c r="D90" s="51"/>
      <c r="E90" s="55"/>
      <c r="F90" s="51"/>
      <c r="G90" s="55"/>
      <c r="H90" s="54"/>
      <c r="I90" s="55"/>
      <c r="J90" s="54"/>
      <c r="K90" s="56"/>
      <c r="L90" s="54"/>
      <c r="M90" s="56" t="s">
        <v>42</v>
      </c>
      <c r="N90" s="54" t="s">
        <v>42</v>
      </c>
      <c r="O90" s="56" t="s">
        <v>42</v>
      </c>
      <c r="P90" s="54" t="s">
        <v>42</v>
      </c>
      <c r="Q90" s="56" t="s">
        <v>42</v>
      </c>
      <c r="R90" s="54" t="s">
        <v>42</v>
      </c>
      <c r="S90" s="56" t="s">
        <v>42</v>
      </c>
      <c r="T90" s="54" t="s">
        <v>42</v>
      </c>
      <c r="U90" s="56" t="s">
        <v>42</v>
      </c>
      <c r="V90" s="54" t="s">
        <v>42</v>
      </c>
      <c r="W90" s="56" t="s">
        <v>42</v>
      </c>
      <c r="X90" s="54" t="s">
        <v>42</v>
      </c>
      <c r="Y90" s="56" t="s">
        <v>42</v>
      </c>
      <c r="Z90" s="54" t="s">
        <v>42</v>
      </c>
      <c r="AA90" s="56" t="s">
        <v>42</v>
      </c>
      <c r="AB90" s="54" t="s">
        <v>42</v>
      </c>
    </row>
    <row r="91" spans="1:28">
      <c r="A91" s="15" t="s">
        <v>138</v>
      </c>
      <c r="B91" s="15" t="s">
        <v>139</v>
      </c>
      <c r="C91" s="84"/>
      <c r="D91" s="83"/>
      <c r="E91" s="18"/>
      <c r="F91" s="19"/>
      <c r="G91" s="18"/>
      <c r="H91" s="19"/>
      <c r="I91" s="18"/>
      <c r="J91" s="19"/>
      <c r="K91" s="18"/>
      <c r="L91" s="19"/>
      <c r="M91" s="18"/>
      <c r="N91" s="26"/>
      <c r="O91" s="18"/>
      <c r="P91" s="19"/>
      <c r="Q91" s="18"/>
      <c r="R91" s="19"/>
      <c r="S91" s="18"/>
      <c r="T91" s="19"/>
      <c r="U91" s="18"/>
      <c r="V91" s="19"/>
      <c r="W91" s="18"/>
      <c r="X91" s="19"/>
      <c r="Y91" s="18"/>
      <c r="Z91" s="19"/>
      <c r="AA91" s="18"/>
      <c r="AB91" s="19"/>
    </row>
    <row r="92" spans="1:28">
      <c r="A92" s="15" t="s">
        <v>138</v>
      </c>
      <c r="B92" s="15" t="s">
        <v>140</v>
      </c>
      <c r="C92" s="84"/>
      <c r="D92" s="83"/>
      <c r="E92" s="18"/>
      <c r="F92" s="19"/>
      <c r="G92" s="18"/>
      <c r="H92" s="19"/>
      <c r="I92" s="18"/>
      <c r="J92" s="19"/>
      <c r="K92" s="18"/>
      <c r="L92" s="19"/>
      <c r="M92" s="18"/>
      <c r="N92" s="19"/>
      <c r="O92" s="18"/>
      <c r="P92" s="19"/>
      <c r="Q92" s="18"/>
      <c r="R92" s="19"/>
      <c r="S92" s="18"/>
      <c r="T92" s="19"/>
      <c r="U92" s="18"/>
      <c r="V92" s="19"/>
      <c r="W92" s="18"/>
      <c r="X92" s="19"/>
      <c r="Y92" s="18"/>
      <c r="Z92" s="19"/>
      <c r="AA92" s="18"/>
      <c r="AB92" s="19"/>
    </row>
    <row r="93" spans="1:28">
      <c r="A93" s="15" t="s">
        <v>138</v>
      </c>
      <c r="B93" s="15" t="s">
        <v>141</v>
      </c>
      <c r="C93" s="71"/>
      <c r="D93" s="72"/>
      <c r="E93" s="18"/>
      <c r="F93" s="74"/>
      <c r="G93" s="85"/>
      <c r="H93" s="19"/>
      <c r="I93" s="18"/>
      <c r="J93" s="19"/>
      <c r="K93" s="18"/>
      <c r="L93" s="19"/>
      <c r="M93" s="18"/>
      <c r="N93" s="19"/>
      <c r="O93" s="18"/>
      <c r="P93" s="19"/>
      <c r="Q93" s="18"/>
      <c r="R93" s="19"/>
      <c r="S93" s="18"/>
      <c r="T93" s="19"/>
      <c r="U93" s="18"/>
      <c r="V93" s="19"/>
      <c r="W93" s="18"/>
      <c r="X93" s="19"/>
      <c r="Y93" s="18"/>
      <c r="Z93" s="19"/>
      <c r="AA93" s="18"/>
      <c r="AB93" s="19"/>
    </row>
    <row r="94" spans="1:28">
      <c r="A94" s="15" t="s">
        <v>138</v>
      </c>
      <c r="B94" s="15" t="s">
        <v>142</v>
      </c>
      <c r="C94" s="84"/>
      <c r="D94" s="83"/>
      <c r="E94" s="18"/>
      <c r="F94" s="19"/>
      <c r="G94" s="18"/>
      <c r="H94" s="19"/>
      <c r="I94" s="18"/>
      <c r="J94" s="19"/>
      <c r="K94" s="18"/>
      <c r="L94" s="19"/>
      <c r="M94" s="18"/>
      <c r="N94" s="19"/>
      <c r="O94" s="18"/>
      <c r="P94" s="19"/>
      <c r="Q94" s="18"/>
      <c r="R94" s="19"/>
      <c r="S94" s="18"/>
      <c r="T94" s="19"/>
      <c r="U94" s="18"/>
      <c r="V94" s="19"/>
      <c r="W94" s="18"/>
      <c r="X94" s="19"/>
      <c r="Y94" s="18"/>
      <c r="Z94" s="19"/>
      <c r="AA94" s="18"/>
      <c r="AB94" s="19"/>
    </row>
    <row r="95" spans="1:28">
      <c r="A95" s="15" t="s">
        <v>138</v>
      </c>
      <c r="B95" s="15" t="s">
        <v>143</v>
      </c>
      <c r="C95" s="71"/>
      <c r="D95" s="83"/>
      <c r="E95" s="93"/>
      <c r="F95" s="19"/>
      <c r="G95" s="85"/>
      <c r="H95" s="19"/>
      <c r="I95" s="85"/>
      <c r="J95" s="19"/>
      <c r="K95" s="18"/>
      <c r="L95" s="19"/>
      <c r="M95" s="18"/>
      <c r="N95" s="19"/>
      <c r="O95" s="18"/>
      <c r="P95" s="19"/>
      <c r="Q95" s="18"/>
      <c r="R95" s="19"/>
      <c r="S95" s="18"/>
      <c r="T95" s="19"/>
      <c r="U95" s="18"/>
      <c r="V95" s="19"/>
      <c r="W95" s="18"/>
      <c r="X95" s="19"/>
      <c r="Y95" s="18"/>
      <c r="Z95" s="19"/>
      <c r="AA95" s="18"/>
      <c r="AB95" s="19"/>
    </row>
    <row r="96" spans="1:28">
      <c r="A96" s="15" t="s">
        <v>138</v>
      </c>
      <c r="B96" s="15" t="s">
        <v>144</v>
      </c>
      <c r="C96" s="84"/>
      <c r="D96" s="83"/>
      <c r="E96" s="18"/>
      <c r="F96" s="19"/>
      <c r="G96" s="18"/>
      <c r="H96" s="19"/>
      <c r="I96" s="18"/>
      <c r="J96" s="19"/>
      <c r="K96" s="18"/>
      <c r="L96" s="19"/>
      <c r="M96" s="18"/>
      <c r="N96" s="19"/>
      <c r="O96" s="18"/>
      <c r="P96" s="19"/>
      <c r="Q96" s="18"/>
      <c r="R96" s="19"/>
      <c r="S96" s="18"/>
      <c r="T96" s="19"/>
      <c r="U96" s="18"/>
      <c r="V96" s="19"/>
      <c r="W96" s="18"/>
      <c r="X96" s="19"/>
      <c r="Y96" s="18"/>
      <c r="Z96" s="19"/>
      <c r="AA96" s="18"/>
      <c r="AB96" s="19"/>
    </row>
    <row r="97" spans="1:28">
      <c r="A97" s="15" t="s">
        <v>138</v>
      </c>
      <c r="B97" s="15" t="s">
        <v>145</v>
      </c>
      <c r="C97" s="84"/>
      <c r="D97" s="83"/>
      <c r="E97" s="18"/>
      <c r="F97" s="19"/>
      <c r="G97" s="18"/>
      <c r="H97" s="19"/>
      <c r="I97" s="18"/>
      <c r="J97" s="19"/>
      <c r="K97" s="18"/>
      <c r="L97" s="19"/>
      <c r="M97" s="18"/>
      <c r="N97" s="19"/>
      <c r="O97" s="18"/>
      <c r="P97" s="19"/>
      <c r="Q97" s="18"/>
      <c r="R97" s="19"/>
      <c r="S97" s="18"/>
      <c r="T97" s="19"/>
      <c r="U97" s="18"/>
      <c r="V97" s="19"/>
      <c r="W97" s="18"/>
      <c r="X97" s="19"/>
      <c r="Y97" s="18"/>
      <c r="Z97" s="19"/>
      <c r="AA97" s="18"/>
      <c r="AB97" s="19"/>
    </row>
    <row r="98" spans="1:28">
      <c r="A98" s="15" t="s">
        <v>138</v>
      </c>
      <c r="B98" s="15" t="s">
        <v>146</v>
      </c>
      <c r="C98" s="71"/>
      <c r="D98" s="72"/>
      <c r="E98" s="85"/>
      <c r="F98" s="74"/>
      <c r="G98" s="18"/>
      <c r="H98" s="19"/>
      <c r="I98" s="18"/>
      <c r="J98" s="19"/>
      <c r="K98" s="18"/>
      <c r="L98" s="19"/>
      <c r="M98" s="18"/>
      <c r="N98" s="90"/>
      <c r="O98" s="18"/>
      <c r="P98" s="19"/>
      <c r="Q98" s="18"/>
      <c r="R98" s="19"/>
      <c r="S98" s="18"/>
      <c r="T98" s="19"/>
      <c r="U98" s="18"/>
      <c r="V98" s="19"/>
      <c r="W98" s="18"/>
      <c r="X98" s="19"/>
      <c r="Y98" s="18"/>
      <c r="Z98" s="19"/>
      <c r="AA98" s="18"/>
      <c r="AB98" s="19"/>
    </row>
    <row r="99" spans="1:28">
      <c r="A99" s="15" t="s">
        <v>138</v>
      </c>
      <c r="B99" s="15" t="s">
        <v>147</v>
      </c>
      <c r="C99" s="84"/>
      <c r="D99" s="83"/>
      <c r="E99" s="18"/>
      <c r="F99" s="19"/>
      <c r="G99" s="18"/>
      <c r="H99" s="19"/>
      <c r="I99" s="18"/>
      <c r="J99" s="19"/>
      <c r="K99" s="18"/>
      <c r="L99" s="19"/>
      <c r="M99" s="18"/>
      <c r="N99" s="19"/>
      <c r="O99" s="18"/>
      <c r="P99" s="19"/>
      <c r="Q99" s="18"/>
      <c r="R99" s="19"/>
      <c r="S99" s="18"/>
      <c r="T99" s="19"/>
      <c r="U99" s="18"/>
      <c r="V99" s="19"/>
      <c r="W99" s="18"/>
      <c r="X99" s="19"/>
      <c r="Y99" s="18"/>
      <c r="Z99" s="19"/>
      <c r="AA99" s="18"/>
      <c r="AB99" s="19"/>
    </row>
    <row r="100" spans="1:28">
      <c r="A100" s="15" t="s">
        <v>138</v>
      </c>
      <c r="B100" s="15" t="s">
        <v>148</v>
      </c>
      <c r="C100" s="84"/>
      <c r="D100" s="83"/>
      <c r="E100" s="18"/>
      <c r="F100" s="19"/>
      <c r="G100" s="18"/>
      <c r="H100" s="19"/>
      <c r="I100" s="18"/>
      <c r="J100" s="19"/>
      <c r="K100" s="18"/>
      <c r="L100" s="19"/>
      <c r="M100" s="18"/>
      <c r="N100" s="19"/>
      <c r="O100" s="18"/>
      <c r="P100" s="19"/>
      <c r="Q100" s="18"/>
      <c r="R100" s="19"/>
      <c r="S100" s="18"/>
      <c r="T100" s="19"/>
      <c r="U100" s="18"/>
      <c r="V100" s="19"/>
      <c r="W100" s="18"/>
      <c r="X100" s="19"/>
      <c r="Y100" s="18"/>
      <c r="Z100" s="19"/>
      <c r="AA100" s="18"/>
      <c r="AB100" s="19"/>
    </row>
    <row r="101" spans="1:28">
      <c r="A101" s="15" t="s">
        <v>138</v>
      </c>
      <c r="B101" s="15" t="s">
        <v>149</v>
      </c>
      <c r="C101" s="84"/>
      <c r="D101" s="83"/>
      <c r="E101" s="18"/>
      <c r="F101" s="19"/>
      <c r="G101" s="18"/>
      <c r="H101" s="19"/>
      <c r="I101" s="18"/>
      <c r="J101" s="19"/>
      <c r="K101" s="18"/>
      <c r="L101" s="19"/>
      <c r="M101" s="18"/>
      <c r="N101" s="19"/>
      <c r="O101" s="18"/>
      <c r="P101" s="19"/>
      <c r="Q101" s="18"/>
      <c r="R101" s="19"/>
      <c r="S101" s="18"/>
      <c r="T101" s="19"/>
      <c r="U101" s="18"/>
      <c r="V101" s="19"/>
      <c r="W101" s="18"/>
      <c r="X101" s="19"/>
      <c r="Y101" s="18"/>
      <c r="Z101" s="19"/>
      <c r="AA101" s="18"/>
      <c r="AB101" s="19"/>
    </row>
    <row r="102" spans="1:28">
      <c r="A102" s="78" t="s">
        <v>150</v>
      </c>
      <c r="B102" s="78"/>
      <c r="C102" s="55"/>
      <c r="D102" s="51"/>
      <c r="E102" s="55"/>
      <c r="F102" s="51"/>
      <c r="G102" s="55"/>
      <c r="H102" s="54"/>
      <c r="I102" s="55"/>
      <c r="J102" s="54"/>
      <c r="K102" s="56"/>
      <c r="L102" s="97"/>
      <c r="M102" s="56" t="s">
        <v>42</v>
      </c>
      <c r="N102" s="54" t="s">
        <v>42</v>
      </c>
      <c r="O102" s="56" t="s">
        <v>42</v>
      </c>
      <c r="P102" s="54" t="s">
        <v>42</v>
      </c>
      <c r="Q102" s="56" t="s">
        <v>42</v>
      </c>
      <c r="R102" s="54" t="s">
        <v>42</v>
      </c>
      <c r="S102" s="56" t="s">
        <v>42</v>
      </c>
      <c r="T102" s="54" t="s">
        <v>42</v>
      </c>
      <c r="U102" s="56" t="s">
        <v>42</v>
      </c>
      <c r="V102" s="54" t="s">
        <v>42</v>
      </c>
      <c r="W102" s="56" t="s">
        <v>42</v>
      </c>
      <c r="X102" s="54" t="s">
        <v>42</v>
      </c>
      <c r="Y102" s="56" t="s">
        <v>42</v>
      </c>
      <c r="Z102" s="54" t="s">
        <v>42</v>
      </c>
      <c r="AA102" s="56" t="s">
        <v>42</v>
      </c>
      <c r="AB102" s="54" t="s">
        <v>42</v>
      </c>
    </row>
    <row r="103" spans="1:28">
      <c r="A103" s="2" t="s">
        <v>151</v>
      </c>
      <c r="B103" s="2" t="s">
        <v>152</v>
      </c>
      <c r="C103" s="84"/>
      <c r="D103" s="83"/>
      <c r="E103" s="18"/>
      <c r="F103" s="19"/>
      <c r="G103" s="18"/>
      <c r="H103" s="19"/>
      <c r="I103" s="18"/>
      <c r="J103" s="19"/>
      <c r="K103" s="18"/>
      <c r="L103" s="2"/>
      <c r="M103" s="18"/>
      <c r="N103" s="19"/>
      <c r="O103" s="18"/>
      <c r="P103" s="19"/>
      <c r="Q103" s="18"/>
      <c r="R103" s="19"/>
      <c r="S103" s="18"/>
      <c r="T103" s="19"/>
      <c r="U103" s="18"/>
      <c r="V103" s="19"/>
      <c r="W103" s="18"/>
      <c r="X103" s="19"/>
      <c r="Y103" s="18"/>
      <c r="Z103" s="19"/>
      <c r="AA103" s="18"/>
      <c r="AB103" s="19"/>
    </row>
    <row r="104" spans="1:28">
      <c r="A104" s="2" t="s">
        <v>151</v>
      </c>
      <c r="B104" s="98" t="s">
        <v>153</v>
      </c>
      <c r="C104" s="71"/>
      <c r="D104" s="72"/>
      <c r="E104" s="85"/>
      <c r="F104" s="74"/>
      <c r="G104" s="85"/>
      <c r="H104" s="19"/>
      <c r="I104" s="85"/>
      <c r="J104" s="19"/>
      <c r="K104" s="18"/>
      <c r="L104" s="19"/>
      <c r="M104" s="18"/>
      <c r="N104" s="19"/>
      <c r="O104" s="18"/>
      <c r="P104" s="19"/>
      <c r="Q104" s="18"/>
      <c r="R104" s="19"/>
      <c r="S104" s="18"/>
      <c r="T104" s="19"/>
      <c r="U104" s="18"/>
      <c r="V104" s="19"/>
      <c r="W104" s="18"/>
      <c r="X104" s="19"/>
      <c r="Y104" s="18"/>
      <c r="Z104" s="19"/>
      <c r="AA104" s="18"/>
      <c r="AB104" s="19"/>
    </row>
    <row r="105" spans="1:28">
      <c r="A105" s="2" t="s">
        <v>151</v>
      </c>
      <c r="B105" s="2" t="s">
        <v>154</v>
      </c>
      <c r="C105" s="84"/>
      <c r="D105" s="83"/>
      <c r="E105" s="18"/>
      <c r="F105" s="19"/>
      <c r="G105" s="18"/>
      <c r="H105" s="19"/>
      <c r="I105" s="18"/>
      <c r="J105" s="19"/>
      <c r="K105" s="18"/>
      <c r="L105" s="19"/>
      <c r="M105" s="18"/>
      <c r="N105" s="19"/>
      <c r="O105" s="18"/>
      <c r="P105" s="19"/>
      <c r="Q105" s="18"/>
      <c r="R105" s="19"/>
      <c r="S105" s="18"/>
      <c r="T105" s="19"/>
      <c r="U105" s="18"/>
      <c r="V105" s="19"/>
      <c r="W105" s="18"/>
      <c r="X105" s="19"/>
      <c r="Y105" s="18"/>
      <c r="Z105" s="19"/>
      <c r="AA105" s="18"/>
      <c r="AB105" s="19"/>
    </row>
    <row r="106" spans="1:28">
      <c r="A106" s="2" t="s">
        <v>151</v>
      </c>
      <c r="B106" s="2" t="s">
        <v>155</v>
      </c>
      <c r="C106" s="84"/>
      <c r="D106" s="83"/>
      <c r="E106" s="18"/>
      <c r="F106" s="74"/>
      <c r="G106" s="18"/>
      <c r="H106" s="19"/>
      <c r="I106" s="18"/>
      <c r="J106" s="19"/>
      <c r="K106" s="18"/>
      <c r="L106" s="19"/>
      <c r="M106" s="18"/>
      <c r="N106" s="19"/>
      <c r="O106" s="18"/>
      <c r="P106" s="19"/>
      <c r="Q106" s="18"/>
      <c r="R106" s="19"/>
      <c r="S106" s="18"/>
      <c r="T106" s="19"/>
      <c r="U106" s="18"/>
      <c r="V106" s="19"/>
      <c r="W106" s="18"/>
      <c r="X106" s="19"/>
      <c r="Y106" s="18"/>
      <c r="Z106" s="19"/>
      <c r="AA106" s="18"/>
      <c r="AB106" s="19"/>
    </row>
    <row r="107" spans="1:28">
      <c r="A107" s="2" t="s">
        <v>151</v>
      </c>
      <c r="B107" s="2" t="s">
        <v>156</v>
      </c>
      <c r="C107" s="84"/>
      <c r="D107" s="83"/>
      <c r="E107" s="18"/>
      <c r="F107" s="19"/>
      <c r="G107" s="18"/>
      <c r="H107" s="19"/>
      <c r="I107" s="18"/>
      <c r="J107" s="19"/>
      <c r="K107" s="18"/>
      <c r="L107" s="19"/>
      <c r="M107" s="18"/>
      <c r="N107" s="19"/>
      <c r="O107" s="18"/>
      <c r="P107" s="19"/>
      <c r="Q107" s="18"/>
      <c r="R107" s="19"/>
      <c r="S107" s="18"/>
      <c r="T107" s="19"/>
      <c r="U107" s="18"/>
      <c r="V107" s="19"/>
      <c r="W107" s="18"/>
      <c r="X107" s="19"/>
      <c r="Y107" s="18"/>
      <c r="Z107" s="19"/>
      <c r="AA107" s="18"/>
      <c r="AB107" s="19"/>
    </row>
    <row r="108" spans="1:28">
      <c r="A108" s="2" t="s">
        <v>151</v>
      </c>
      <c r="B108" s="2" t="s">
        <v>157</v>
      </c>
      <c r="C108" s="84"/>
      <c r="D108" s="83"/>
      <c r="E108" s="18"/>
      <c r="F108" s="19"/>
      <c r="G108" s="18"/>
      <c r="H108" s="19"/>
      <c r="I108" s="18"/>
      <c r="J108" s="19"/>
      <c r="K108" s="18"/>
      <c r="L108" s="19"/>
      <c r="M108" s="18"/>
      <c r="N108" s="19"/>
      <c r="O108" s="18"/>
      <c r="P108" s="19"/>
      <c r="Q108" s="18"/>
      <c r="R108" s="19"/>
      <c r="S108" s="18"/>
      <c r="T108" s="19"/>
      <c r="U108" s="18"/>
      <c r="V108" s="19"/>
      <c r="W108" s="18"/>
      <c r="X108" s="19"/>
      <c r="Y108" s="18"/>
      <c r="Z108" s="19"/>
      <c r="AA108" s="18"/>
      <c r="AB108" s="19"/>
    </row>
    <row r="109" spans="1:28">
      <c r="A109" s="2" t="s">
        <v>151</v>
      </c>
      <c r="B109" s="2" t="s">
        <v>158</v>
      </c>
      <c r="C109" s="84"/>
      <c r="D109" s="83"/>
      <c r="E109" s="18"/>
      <c r="F109" s="19"/>
      <c r="G109" s="18"/>
      <c r="H109" s="2"/>
      <c r="I109" s="18"/>
      <c r="J109" s="19"/>
      <c r="K109" s="18"/>
      <c r="L109" s="19"/>
      <c r="M109" s="18"/>
      <c r="N109" s="19"/>
      <c r="O109" s="18"/>
      <c r="P109" s="19"/>
      <c r="Q109" s="18"/>
      <c r="R109" s="19"/>
      <c r="S109" s="18"/>
      <c r="T109" s="19"/>
      <c r="U109" s="18"/>
      <c r="V109" s="19"/>
      <c r="W109" s="18"/>
      <c r="X109" s="19"/>
      <c r="Y109" s="18"/>
      <c r="Z109" s="19"/>
      <c r="AA109" s="18"/>
      <c r="AB109" s="19"/>
    </row>
    <row r="110" spans="1:28">
      <c r="A110" s="2" t="s">
        <v>151</v>
      </c>
      <c r="B110" s="98" t="s">
        <v>159</v>
      </c>
      <c r="C110" s="71"/>
      <c r="D110" s="72"/>
      <c r="E110" s="85"/>
      <c r="F110" s="99"/>
      <c r="G110" s="85"/>
      <c r="H110" s="24"/>
      <c r="I110" s="85"/>
      <c r="J110" s="24"/>
      <c r="K110" s="18"/>
      <c r="L110" s="24"/>
      <c r="M110" s="18"/>
      <c r="N110" s="24"/>
      <c r="O110" s="18"/>
      <c r="P110" s="24"/>
      <c r="Q110" s="18"/>
      <c r="R110" s="24"/>
      <c r="S110" s="18"/>
      <c r="T110" s="24"/>
      <c r="U110" s="18"/>
      <c r="V110" s="24"/>
      <c r="W110" s="18"/>
      <c r="X110" s="24"/>
      <c r="Y110" s="18"/>
      <c r="Z110" s="24"/>
      <c r="AA110" s="18"/>
      <c r="AB110" s="24"/>
    </row>
    <row r="111" spans="1:28">
      <c r="A111" s="2" t="s">
        <v>151</v>
      </c>
      <c r="B111" s="2" t="s">
        <v>160</v>
      </c>
      <c r="C111" s="84"/>
      <c r="D111" s="72"/>
      <c r="E111" s="18"/>
      <c r="F111" s="74"/>
      <c r="G111" s="18"/>
      <c r="H111" s="19"/>
      <c r="I111" s="18"/>
      <c r="J111" s="19"/>
      <c r="K111" s="18"/>
      <c r="L111" s="19"/>
      <c r="M111" s="18"/>
      <c r="N111" s="19"/>
      <c r="O111" s="18"/>
      <c r="P111" s="19"/>
      <c r="Q111" s="18"/>
      <c r="R111" s="19"/>
      <c r="S111" s="18"/>
      <c r="T111" s="19"/>
      <c r="U111" s="18"/>
      <c r="V111" s="19"/>
      <c r="W111" s="18"/>
      <c r="X111" s="19"/>
      <c r="Y111" s="18"/>
      <c r="Z111" s="19"/>
      <c r="AA111" s="18"/>
      <c r="AB111" s="19"/>
    </row>
    <row r="112" spans="1:28">
      <c r="A112" s="2" t="s">
        <v>151</v>
      </c>
      <c r="B112" s="2" t="s">
        <v>161</v>
      </c>
      <c r="C112" s="84"/>
      <c r="D112" s="83"/>
      <c r="E112" s="18"/>
      <c r="F112" s="19"/>
      <c r="G112" s="18"/>
      <c r="H112" s="19"/>
      <c r="I112" s="18"/>
      <c r="J112" s="19"/>
      <c r="K112" s="18"/>
      <c r="L112" s="19"/>
      <c r="M112" s="18"/>
      <c r="N112" s="19"/>
      <c r="O112" s="18"/>
      <c r="P112" s="19"/>
      <c r="Q112" s="18"/>
      <c r="R112" s="19"/>
      <c r="S112" s="18"/>
      <c r="T112" s="19"/>
      <c r="U112" s="18"/>
      <c r="V112" s="19"/>
      <c r="W112" s="18"/>
      <c r="X112" s="19"/>
      <c r="Y112" s="18"/>
      <c r="Z112" s="19"/>
      <c r="AA112" s="18"/>
      <c r="AB112" s="19"/>
    </row>
    <row r="113" spans="1:28">
      <c r="A113" s="2" t="s">
        <v>151</v>
      </c>
      <c r="B113" s="2" t="s">
        <v>162</v>
      </c>
      <c r="C113" s="71"/>
      <c r="D113" s="72"/>
      <c r="E113" s="85"/>
      <c r="F113" s="74"/>
      <c r="G113" s="85"/>
      <c r="H113" s="19"/>
      <c r="I113" s="85"/>
      <c r="J113" s="19"/>
      <c r="K113" s="18"/>
      <c r="L113" s="19"/>
      <c r="M113" s="18"/>
      <c r="N113" s="19"/>
      <c r="O113" s="18"/>
      <c r="P113" s="19"/>
      <c r="Q113" s="18"/>
      <c r="R113" s="19"/>
      <c r="S113" s="18"/>
      <c r="T113" s="19"/>
      <c r="U113" s="18"/>
      <c r="V113" s="19"/>
      <c r="W113" s="18"/>
      <c r="X113" s="19"/>
      <c r="Y113" s="18"/>
      <c r="Z113" s="19"/>
      <c r="AA113" s="18"/>
      <c r="AB113" s="19"/>
    </row>
    <row r="114" spans="1:28">
      <c r="A114" s="2" t="s">
        <v>151</v>
      </c>
      <c r="B114" s="2" t="s">
        <v>163</v>
      </c>
      <c r="C114" s="84"/>
      <c r="D114" s="83"/>
      <c r="E114" s="18"/>
      <c r="F114" s="19"/>
      <c r="G114" s="18"/>
      <c r="H114" s="19"/>
      <c r="I114" s="18"/>
      <c r="J114" s="19"/>
      <c r="K114" s="18"/>
      <c r="L114" s="19"/>
      <c r="M114" s="18"/>
      <c r="N114" s="19"/>
      <c r="O114" s="18"/>
      <c r="P114" s="19"/>
      <c r="Q114" s="18"/>
      <c r="R114" s="19"/>
      <c r="S114" s="18"/>
      <c r="T114" s="19"/>
      <c r="U114" s="18"/>
      <c r="V114" s="19"/>
      <c r="W114" s="18"/>
      <c r="X114" s="19"/>
      <c r="Y114" s="18"/>
      <c r="Z114" s="19"/>
      <c r="AA114" s="18"/>
      <c r="AB114" s="19"/>
    </row>
    <row r="115" spans="1:28">
      <c r="A115" s="2" t="s">
        <v>151</v>
      </c>
      <c r="B115" s="98" t="s">
        <v>164</v>
      </c>
      <c r="C115" s="71"/>
      <c r="D115" s="72"/>
      <c r="E115" s="85"/>
      <c r="F115" s="74"/>
      <c r="G115" s="85"/>
      <c r="H115" s="19"/>
      <c r="I115" s="85"/>
      <c r="J115" s="19"/>
      <c r="K115" s="18"/>
      <c r="L115" s="19"/>
      <c r="M115" s="18"/>
      <c r="N115" s="19"/>
      <c r="O115" s="18"/>
      <c r="P115" s="19"/>
      <c r="Q115" s="18"/>
      <c r="R115" s="19"/>
      <c r="S115" s="18"/>
      <c r="T115" s="19"/>
      <c r="U115" s="18"/>
      <c r="V115" s="19"/>
      <c r="W115" s="18"/>
      <c r="X115" s="19"/>
      <c r="Y115" s="18"/>
      <c r="Z115" s="19"/>
      <c r="AA115" s="18"/>
      <c r="AB115" s="19"/>
    </row>
    <row r="116" spans="1:28">
      <c r="A116" s="2" t="s">
        <v>151</v>
      </c>
      <c r="B116" s="2" t="s">
        <v>165</v>
      </c>
      <c r="C116" s="84"/>
      <c r="D116" s="83"/>
      <c r="E116" s="18"/>
      <c r="F116" s="19"/>
      <c r="G116" s="18"/>
      <c r="H116" s="19"/>
      <c r="I116" s="18"/>
      <c r="J116" s="19"/>
      <c r="K116" s="18"/>
      <c r="L116" s="19"/>
      <c r="M116" s="18"/>
      <c r="N116" s="19"/>
      <c r="O116" s="18"/>
      <c r="P116" s="19"/>
      <c r="Q116" s="18"/>
      <c r="R116" s="19"/>
      <c r="S116" s="18"/>
      <c r="T116" s="19"/>
      <c r="U116" s="18"/>
      <c r="V116" s="19"/>
      <c r="W116" s="18"/>
      <c r="X116" s="19"/>
      <c r="Y116" s="18"/>
      <c r="Z116" s="19"/>
      <c r="AA116" s="18"/>
      <c r="AB116" s="19"/>
    </row>
    <row r="117" spans="1:28">
      <c r="A117" s="2" t="s">
        <v>151</v>
      </c>
      <c r="B117" s="2" t="s">
        <v>166</v>
      </c>
      <c r="C117" s="84"/>
      <c r="D117" s="83"/>
      <c r="E117" s="18"/>
      <c r="F117" s="19"/>
      <c r="G117" s="18"/>
      <c r="H117" s="19"/>
      <c r="I117" s="18"/>
      <c r="J117" s="19"/>
      <c r="K117" s="18"/>
      <c r="L117" s="19"/>
      <c r="M117" s="18"/>
      <c r="N117" s="19"/>
      <c r="O117" s="18"/>
      <c r="P117" s="19"/>
      <c r="Q117" s="18"/>
      <c r="R117" s="19"/>
      <c r="S117" s="18"/>
      <c r="T117" s="19"/>
      <c r="U117" s="18"/>
      <c r="V117" s="19"/>
      <c r="W117" s="18"/>
      <c r="X117" s="19"/>
      <c r="Y117" s="18"/>
      <c r="Z117" s="19"/>
      <c r="AA117" s="18"/>
      <c r="AB117" s="19"/>
    </row>
    <row r="118" spans="1:28">
      <c r="A118" s="2" t="s">
        <v>151</v>
      </c>
      <c r="B118" s="2" t="s">
        <v>167</v>
      </c>
      <c r="C118" s="84"/>
      <c r="D118" s="83"/>
      <c r="E118" s="18"/>
      <c r="F118" s="19"/>
      <c r="G118" s="18"/>
      <c r="H118" s="19"/>
      <c r="I118" s="18"/>
      <c r="J118" s="19"/>
      <c r="K118" s="18"/>
      <c r="L118" s="19"/>
      <c r="M118" s="18"/>
      <c r="N118" s="19"/>
      <c r="O118" s="18"/>
      <c r="P118" s="19"/>
      <c r="Q118" s="18"/>
      <c r="R118" s="19"/>
      <c r="S118" s="18"/>
      <c r="T118" s="19"/>
      <c r="U118" s="18"/>
      <c r="V118" s="19"/>
      <c r="W118" s="18"/>
      <c r="X118" s="19"/>
      <c r="Y118" s="18"/>
      <c r="Z118" s="19"/>
      <c r="AA118" s="18"/>
      <c r="AB118" s="19"/>
    </row>
    <row r="119" spans="1:28">
      <c r="A119" s="2" t="s">
        <v>151</v>
      </c>
      <c r="B119" s="2" t="s">
        <v>168</v>
      </c>
      <c r="C119" s="84"/>
      <c r="D119" s="72"/>
      <c r="E119" s="18"/>
      <c r="F119" s="74"/>
      <c r="G119" s="18"/>
      <c r="H119" s="19"/>
      <c r="I119" s="18"/>
      <c r="J119" s="19"/>
      <c r="K119" s="18"/>
      <c r="L119" s="19"/>
      <c r="M119" s="18"/>
      <c r="N119" s="19"/>
      <c r="O119" s="18"/>
      <c r="P119" s="19"/>
      <c r="Q119" s="18"/>
      <c r="R119" s="19"/>
      <c r="S119" s="18"/>
      <c r="T119" s="19"/>
      <c r="U119" s="18"/>
      <c r="V119" s="19"/>
      <c r="W119" s="18"/>
      <c r="X119" s="19"/>
      <c r="Y119" s="18"/>
      <c r="Z119" s="19"/>
      <c r="AA119" s="18"/>
      <c r="AB119" s="19"/>
    </row>
    <row r="120" spans="1:28">
      <c r="A120" s="2" t="s">
        <v>151</v>
      </c>
      <c r="B120" s="2" t="s">
        <v>169</v>
      </c>
      <c r="C120" s="71"/>
      <c r="D120" s="83"/>
      <c r="E120" s="85"/>
      <c r="F120" s="19"/>
      <c r="G120" s="85"/>
      <c r="H120" s="19"/>
      <c r="I120" s="85"/>
      <c r="J120" s="19"/>
      <c r="K120" s="18"/>
      <c r="L120" s="19"/>
      <c r="M120" s="18"/>
      <c r="N120" s="19"/>
      <c r="O120" s="18"/>
      <c r="P120" s="19"/>
      <c r="Q120" s="18"/>
      <c r="R120" s="19"/>
      <c r="S120" s="18"/>
      <c r="T120" s="19"/>
      <c r="U120" s="18"/>
      <c r="V120" s="19"/>
      <c r="W120" s="18"/>
      <c r="X120" s="19"/>
      <c r="Y120" s="18"/>
      <c r="Z120" s="19"/>
      <c r="AA120" s="18"/>
      <c r="AB120" s="19"/>
    </row>
    <row r="121" spans="1:28">
      <c r="A121" s="2" t="s">
        <v>151</v>
      </c>
      <c r="B121" s="98" t="s">
        <v>170</v>
      </c>
      <c r="C121" s="71"/>
      <c r="D121" s="72"/>
      <c r="E121" s="85"/>
      <c r="F121" s="74"/>
      <c r="G121" s="85"/>
      <c r="H121" s="19"/>
      <c r="I121" s="85"/>
      <c r="J121" s="19"/>
      <c r="K121" s="18"/>
      <c r="L121" s="19"/>
      <c r="M121" s="18"/>
      <c r="N121" s="19"/>
      <c r="O121" s="18"/>
      <c r="P121" s="19"/>
      <c r="Q121" s="18"/>
      <c r="R121" s="19"/>
      <c r="S121" s="18"/>
      <c r="T121" s="19"/>
      <c r="U121" s="18"/>
      <c r="V121" s="19"/>
      <c r="W121" s="18"/>
      <c r="X121" s="19"/>
      <c r="Y121" s="18"/>
      <c r="Z121" s="19"/>
      <c r="AA121" s="18"/>
      <c r="AB121" s="19"/>
    </row>
    <row r="122" spans="1:28">
      <c r="A122" s="2" t="s">
        <v>151</v>
      </c>
      <c r="B122" s="2" t="s">
        <v>171</v>
      </c>
      <c r="C122" s="84"/>
      <c r="D122" s="83"/>
      <c r="E122" s="18"/>
      <c r="F122" s="19"/>
      <c r="G122" s="18"/>
      <c r="H122" s="19"/>
      <c r="I122" s="18"/>
      <c r="J122" s="19"/>
      <c r="K122" s="18"/>
      <c r="L122" s="19"/>
      <c r="M122" s="18"/>
      <c r="N122" s="19"/>
      <c r="O122" s="18"/>
      <c r="P122" s="19"/>
      <c r="Q122" s="18"/>
      <c r="R122" s="19"/>
      <c r="S122" s="18"/>
      <c r="T122" s="19"/>
      <c r="U122" s="18"/>
      <c r="V122" s="19"/>
      <c r="W122" s="18"/>
      <c r="X122" s="19"/>
      <c r="Y122" s="18"/>
      <c r="Z122" s="19"/>
      <c r="AA122" s="18"/>
      <c r="AB122" s="19"/>
    </row>
    <row r="123" spans="1:28">
      <c r="A123" s="2" t="s">
        <v>151</v>
      </c>
      <c r="B123" s="98" t="s">
        <v>172</v>
      </c>
      <c r="C123" s="71"/>
      <c r="D123" s="72"/>
      <c r="E123" s="81"/>
      <c r="F123" s="74"/>
      <c r="G123" s="81"/>
      <c r="H123" s="19"/>
      <c r="I123" s="85"/>
      <c r="J123" s="19"/>
      <c r="K123" s="18"/>
      <c r="L123" s="19"/>
      <c r="M123" s="18"/>
      <c r="N123" s="19"/>
      <c r="O123" s="18"/>
      <c r="P123" s="19"/>
      <c r="Q123" s="18"/>
      <c r="R123" s="19"/>
      <c r="S123" s="18"/>
      <c r="T123" s="19"/>
      <c r="U123" s="18"/>
      <c r="V123" s="19"/>
      <c r="W123" s="18"/>
      <c r="X123" s="19"/>
      <c r="Y123" s="18"/>
      <c r="Z123" s="19"/>
      <c r="AA123" s="18"/>
      <c r="AB123" s="19"/>
    </row>
    <row r="124" spans="1:28">
      <c r="A124" s="2" t="s">
        <v>151</v>
      </c>
      <c r="B124" s="98" t="s">
        <v>173</v>
      </c>
      <c r="C124" s="71"/>
      <c r="D124" s="72"/>
      <c r="E124" s="85"/>
      <c r="F124" s="74"/>
      <c r="G124" s="85"/>
      <c r="H124" s="19"/>
      <c r="I124" s="85"/>
      <c r="J124" s="19"/>
      <c r="K124" s="18"/>
      <c r="L124" s="19"/>
      <c r="M124" s="18"/>
      <c r="N124" s="19"/>
      <c r="O124" s="18"/>
      <c r="P124" s="19"/>
      <c r="Q124" s="18"/>
      <c r="R124" s="19"/>
      <c r="S124" s="18"/>
      <c r="T124" s="19"/>
      <c r="U124" s="18"/>
      <c r="V124" s="19"/>
      <c r="W124" s="18"/>
      <c r="X124" s="19"/>
      <c r="Y124" s="18"/>
      <c r="Z124" s="19"/>
      <c r="AA124" s="18"/>
      <c r="AB124" s="19"/>
    </row>
    <row r="125" spans="1:28">
      <c r="A125" s="2" t="s">
        <v>151</v>
      </c>
      <c r="B125" s="2" t="s">
        <v>174</v>
      </c>
      <c r="C125" s="84"/>
      <c r="D125" s="83"/>
      <c r="E125" s="18"/>
      <c r="F125" s="19"/>
      <c r="G125" s="18"/>
      <c r="H125" s="19"/>
      <c r="I125" s="18"/>
      <c r="J125" s="19"/>
      <c r="K125" s="18"/>
      <c r="L125" s="19"/>
      <c r="M125" s="18"/>
      <c r="N125" s="19"/>
      <c r="O125" s="18"/>
      <c r="P125" s="19"/>
      <c r="Q125" s="18"/>
      <c r="R125" s="19"/>
      <c r="S125" s="18"/>
      <c r="T125" s="19"/>
      <c r="U125" s="18"/>
      <c r="V125" s="19"/>
      <c r="W125" s="18"/>
      <c r="X125" s="19"/>
      <c r="Y125" s="18"/>
      <c r="Z125" s="19"/>
      <c r="AA125" s="18"/>
      <c r="AB125" s="19"/>
    </row>
    <row r="126" spans="1:28">
      <c r="A126" s="2" t="s">
        <v>151</v>
      </c>
      <c r="B126" s="98" t="s">
        <v>175</v>
      </c>
      <c r="C126" s="71"/>
      <c r="D126" s="72"/>
      <c r="E126" s="85"/>
      <c r="F126" s="74"/>
      <c r="G126" s="85"/>
      <c r="H126" s="19"/>
      <c r="I126" s="85"/>
      <c r="J126" s="19"/>
      <c r="K126" s="18"/>
      <c r="L126" s="19"/>
      <c r="M126" s="18"/>
      <c r="N126" s="19"/>
      <c r="O126" s="18"/>
      <c r="P126" s="19"/>
      <c r="Q126" s="18"/>
      <c r="R126" s="19"/>
      <c r="S126" s="18"/>
      <c r="T126" s="19"/>
      <c r="U126" s="18"/>
      <c r="V126" s="19"/>
      <c r="W126" s="18"/>
      <c r="X126" s="19"/>
      <c r="Y126" s="18"/>
      <c r="Z126" s="19"/>
      <c r="AA126" s="18"/>
      <c r="AB126" s="19"/>
    </row>
    <row r="127" spans="1:28">
      <c r="A127" s="78" t="s">
        <v>176</v>
      </c>
      <c r="B127" s="78"/>
      <c r="C127" s="55"/>
      <c r="D127" s="51"/>
      <c r="E127" s="55"/>
      <c r="F127" s="51"/>
      <c r="G127" s="55"/>
      <c r="H127" s="54"/>
      <c r="I127" s="55"/>
      <c r="J127" s="54"/>
      <c r="K127" s="56"/>
      <c r="L127" s="54"/>
      <c r="M127" s="56" t="s">
        <v>42</v>
      </c>
      <c r="N127" s="54" t="s">
        <v>42</v>
      </c>
      <c r="O127" s="56" t="s">
        <v>42</v>
      </c>
      <c r="P127" s="54" t="s">
        <v>42</v>
      </c>
      <c r="Q127" s="56" t="s">
        <v>42</v>
      </c>
      <c r="R127" s="54" t="s">
        <v>42</v>
      </c>
      <c r="S127" s="56" t="s">
        <v>42</v>
      </c>
      <c r="T127" s="54" t="s">
        <v>42</v>
      </c>
      <c r="U127" s="56" t="s">
        <v>42</v>
      </c>
      <c r="V127" s="54" t="s">
        <v>42</v>
      </c>
      <c r="W127" s="56" t="s">
        <v>42</v>
      </c>
      <c r="X127" s="54" t="s">
        <v>42</v>
      </c>
      <c r="Y127" s="56" t="s">
        <v>42</v>
      </c>
      <c r="Z127" s="54" t="s">
        <v>42</v>
      </c>
      <c r="AA127" s="56" t="s">
        <v>42</v>
      </c>
      <c r="AB127" s="54" t="s">
        <v>42</v>
      </c>
    </row>
    <row r="128" spans="1:28">
      <c r="A128" s="2" t="s">
        <v>177</v>
      </c>
      <c r="B128" s="2" t="s">
        <v>178</v>
      </c>
      <c r="C128" s="84"/>
      <c r="D128" s="83"/>
      <c r="E128" s="18"/>
      <c r="F128" s="19"/>
      <c r="G128" s="18"/>
      <c r="H128" s="19"/>
      <c r="I128" s="18"/>
      <c r="J128" s="19"/>
      <c r="K128" s="18"/>
      <c r="L128" s="19"/>
      <c r="M128" s="18"/>
      <c r="N128" s="19"/>
      <c r="O128" s="18"/>
      <c r="P128" s="19"/>
      <c r="Q128" s="18"/>
      <c r="R128" s="19"/>
      <c r="S128" s="18"/>
      <c r="T128" s="19"/>
      <c r="U128" s="18"/>
      <c r="V128" s="19"/>
      <c r="W128" s="18"/>
      <c r="X128" s="19"/>
      <c r="Y128" s="18"/>
      <c r="Z128" s="19"/>
      <c r="AA128" s="18"/>
      <c r="AB128" s="19"/>
    </row>
    <row r="129" spans="1:28">
      <c r="A129" s="2" t="s">
        <v>177</v>
      </c>
      <c r="B129" s="2" t="s">
        <v>179</v>
      </c>
      <c r="C129" s="84"/>
      <c r="D129" s="83"/>
      <c r="E129" s="18"/>
      <c r="F129" s="19"/>
      <c r="G129" s="18"/>
      <c r="H129" s="19"/>
      <c r="I129" s="18"/>
      <c r="J129" s="19"/>
      <c r="K129" s="18"/>
      <c r="L129" s="19"/>
      <c r="M129" s="18"/>
      <c r="N129" s="19"/>
      <c r="O129" s="18"/>
      <c r="P129" s="19"/>
      <c r="Q129" s="18"/>
      <c r="R129" s="19"/>
      <c r="S129" s="18"/>
      <c r="T129" s="19"/>
      <c r="U129" s="18"/>
      <c r="V129" s="19"/>
      <c r="W129" s="18"/>
      <c r="X129" s="19"/>
      <c r="Y129" s="18"/>
      <c r="Z129" s="19"/>
      <c r="AA129" s="18"/>
      <c r="AB129" s="19"/>
    </row>
    <row r="130" spans="1:28">
      <c r="A130" s="2" t="s">
        <v>177</v>
      </c>
      <c r="B130" s="2" t="s">
        <v>180</v>
      </c>
      <c r="C130" s="84"/>
      <c r="D130" s="83"/>
      <c r="E130" s="18"/>
      <c r="F130" s="19"/>
      <c r="G130" s="18"/>
      <c r="H130" s="19"/>
      <c r="I130" s="18"/>
      <c r="J130" s="19"/>
      <c r="K130" s="18"/>
      <c r="L130" s="19"/>
      <c r="M130" s="18"/>
      <c r="N130" s="19"/>
      <c r="O130" s="18"/>
      <c r="P130" s="19"/>
      <c r="Q130" s="18"/>
      <c r="R130" s="19"/>
      <c r="S130" s="18"/>
      <c r="T130" s="19"/>
      <c r="U130" s="18"/>
      <c r="V130" s="19"/>
      <c r="W130" s="18"/>
      <c r="X130" s="19"/>
      <c r="Y130" s="18"/>
      <c r="Z130" s="19"/>
      <c r="AA130" s="18"/>
      <c r="AB130" s="19"/>
    </row>
    <row r="131" spans="1:28">
      <c r="A131" s="2" t="s">
        <v>177</v>
      </c>
      <c r="B131" s="2" t="s">
        <v>181</v>
      </c>
      <c r="C131" s="84"/>
      <c r="D131" s="83"/>
      <c r="E131" s="18"/>
      <c r="F131" s="19"/>
      <c r="G131" s="18"/>
      <c r="H131" s="19"/>
      <c r="I131" s="18"/>
      <c r="J131" s="19"/>
      <c r="K131" s="18"/>
      <c r="L131" s="19"/>
      <c r="M131" s="18"/>
      <c r="N131" s="19"/>
      <c r="O131" s="18"/>
      <c r="P131" s="19"/>
      <c r="Q131" s="18"/>
      <c r="R131" s="19"/>
      <c r="S131" s="18"/>
      <c r="T131" s="19"/>
      <c r="U131" s="18"/>
      <c r="V131" s="19"/>
      <c r="W131" s="18"/>
      <c r="X131" s="19"/>
      <c r="Y131" s="18"/>
      <c r="Z131" s="19"/>
      <c r="AA131" s="18"/>
      <c r="AB131" s="19"/>
    </row>
    <row r="132" spans="1:28">
      <c r="A132" s="2" t="s">
        <v>177</v>
      </c>
      <c r="B132" s="2" t="s">
        <v>182</v>
      </c>
      <c r="C132" s="84"/>
      <c r="D132" s="72"/>
      <c r="E132" s="18"/>
      <c r="F132" s="76"/>
      <c r="G132" s="18"/>
      <c r="H132" s="19"/>
      <c r="I132" s="18"/>
      <c r="J132" s="19"/>
      <c r="K132" s="18"/>
      <c r="L132" s="19"/>
      <c r="M132" s="18"/>
      <c r="N132" s="19"/>
      <c r="O132" s="18"/>
      <c r="P132" s="19"/>
      <c r="Q132" s="18"/>
      <c r="R132" s="19"/>
      <c r="S132" s="18"/>
      <c r="T132" s="19"/>
      <c r="U132" s="18"/>
      <c r="V132" s="19"/>
      <c r="W132" s="18"/>
      <c r="X132" s="19"/>
      <c r="Y132" s="18"/>
      <c r="Z132" s="19"/>
      <c r="AA132" s="18"/>
      <c r="AB132" s="19"/>
    </row>
    <row r="133" spans="1:28">
      <c r="A133" s="2" t="s">
        <v>177</v>
      </c>
      <c r="B133" s="2" t="s">
        <v>183</v>
      </c>
      <c r="C133" s="84"/>
      <c r="D133" s="72"/>
      <c r="E133" s="18"/>
      <c r="F133" s="74"/>
      <c r="G133" s="18"/>
      <c r="H133" s="19"/>
      <c r="I133" s="18"/>
      <c r="J133" s="19"/>
      <c r="K133" s="18"/>
      <c r="L133" s="19"/>
      <c r="M133" s="18"/>
      <c r="N133" s="19"/>
      <c r="O133" s="18"/>
      <c r="P133" s="19"/>
      <c r="Q133" s="18"/>
      <c r="R133" s="19"/>
      <c r="S133" s="18"/>
      <c r="T133" s="19"/>
      <c r="U133" s="18"/>
      <c r="V133" s="19"/>
      <c r="W133" s="18"/>
      <c r="X133" s="19"/>
      <c r="Y133" s="18"/>
      <c r="Z133" s="19"/>
      <c r="AA133" s="18"/>
      <c r="AB133" s="19"/>
    </row>
    <row r="134" spans="1:28">
      <c r="A134" s="2" t="s">
        <v>177</v>
      </c>
      <c r="B134" s="2" t="s">
        <v>184</v>
      </c>
      <c r="C134" s="84"/>
      <c r="D134" s="83"/>
      <c r="E134" s="18"/>
      <c r="F134" s="19"/>
      <c r="G134" s="18"/>
      <c r="H134" s="19"/>
      <c r="I134" s="18"/>
      <c r="J134" s="19"/>
      <c r="K134" s="18"/>
      <c r="L134" s="19"/>
      <c r="M134" s="18"/>
      <c r="N134" s="19"/>
      <c r="O134" s="18"/>
      <c r="P134" s="19"/>
      <c r="Q134" s="18"/>
      <c r="R134" s="19"/>
      <c r="S134" s="18"/>
      <c r="T134" s="19"/>
      <c r="U134" s="18"/>
      <c r="V134" s="19"/>
      <c r="W134" s="18"/>
      <c r="X134" s="19"/>
      <c r="Y134" s="18"/>
      <c r="Z134" s="19"/>
      <c r="AA134" s="18"/>
      <c r="AB134" s="19"/>
    </row>
    <row r="135" spans="1:28">
      <c r="A135" s="2" t="s">
        <v>177</v>
      </c>
      <c r="B135" s="2" t="s">
        <v>185</v>
      </c>
      <c r="C135" s="71"/>
      <c r="D135" s="72"/>
      <c r="E135" s="85"/>
      <c r="F135" s="74"/>
      <c r="G135" s="85"/>
      <c r="H135" s="19"/>
      <c r="I135" s="85"/>
      <c r="J135" s="19"/>
      <c r="K135" s="18"/>
      <c r="L135" s="19"/>
      <c r="M135" s="18"/>
      <c r="N135" s="19"/>
      <c r="O135" s="18"/>
      <c r="P135" s="19"/>
      <c r="Q135" s="18"/>
      <c r="R135" s="19"/>
      <c r="S135" s="18"/>
      <c r="T135" s="19"/>
      <c r="U135" s="18"/>
      <c r="V135" s="19"/>
      <c r="W135" s="18"/>
      <c r="X135" s="19"/>
      <c r="Y135" s="18"/>
      <c r="Z135" s="19"/>
      <c r="AA135" s="18"/>
      <c r="AB135" s="19"/>
    </row>
    <row r="136" spans="1:28">
      <c r="A136" s="2" t="s">
        <v>177</v>
      </c>
      <c r="B136" s="2" t="s">
        <v>186</v>
      </c>
      <c r="C136" s="84"/>
      <c r="D136" s="72"/>
      <c r="E136" s="18"/>
      <c r="F136" s="74"/>
      <c r="G136" s="18"/>
      <c r="H136" s="19"/>
      <c r="I136" s="18"/>
      <c r="J136" s="19"/>
      <c r="K136" s="18"/>
      <c r="L136" s="19"/>
      <c r="M136" s="18"/>
      <c r="N136" s="19"/>
      <c r="O136" s="18"/>
      <c r="P136" s="19"/>
      <c r="Q136" s="18"/>
      <c r="R136" s="19"/>
      <c r="S136" s="18"/>
      <c r="T136" s="19"/>
      <c r="U136" s="18"/>
      <c r="V136" s="19"/>
      <c r="W136" s="18"/>
      <c r="X136" s="19"/>
      <c r="Y136" s="18"/>
      <c r="Z136" s="19"/>
      <c r="AA136" s="18"/>
      <c r="AB136" s="19"/>
    </row>
    <row r="137" spans="1:28">
      <c r="A137" s="2" t="s">
        <v>177</v>
      </c>
      <c r="B137" s="2" t="s">
        <v>187</v>
      </c>
      <c r="C137" s="84"/>
      <c r="D137" s="83"/>
      <c r="E137" s="18"/>
      <c r="F137" s="19"/>
      <c r="G137" s="18"/>
      <c r="H137" s="19"/>
      <c r="I137" s="18"/>
      <c r="J137" s="19"/>
      <c r="K137" s="18"/>
      <c r="L137" s="19"/>
      <c r="M137" s="18"/>
      <c r="N137" s="19"/>
      <c r="O137" s="18"/>
      <c r="P137" s="19"/>
      <c r="Q137" s="18"/>
      <c r="R137" s="19"/>
      <c r="S137" s="18"/>
      <c r="T137" s="19"/>
      <c r="U137" s="18"/>
      <c r="V137" s="19"/>
      <c r="W137" s="18"/>
      <c r="X137" s="19"/>
      <c r="Y137" s="18"/>
      <c r="Z137" s="19"/>
      <c r="AA137" s="18"/>
      <c r="AB137" s="19"/>
    </row>
    <row r="138" spans="1:28">
      <c r="A138" s="2" t="s">
        <v>177</v>
      </c>
      <c r="B138" s="2" t="s">
        <v>188</v>
      </c>
      <c r="C138" s="84"/>
      <c r="D138" s="83"/>
      <c r="E138" s="18"/>
      <c r="F138" s="19"/>
      <c r="G138" s="18"/>
      <c r="H138" s="19"/>
      <c r="I138" s="18"/>
      <c r="J138" s="19"/>
      <c r="K138" s="18"/>
      <c r="L138" s="19"/>
      <c r="M138" s="18"/>
      <c r="N138" s="19"/>
      <c r="O138" s="18"/>
      <c r="P138" s="19"/>
      <c r="Q138" s="18"/>
      <c r="R138" s="19"/>
      <c r="S138" s="18"/>
      <c r="T138" s="19"/>
      <c r="U138" s="18"/>
      <c r="V138" s="19"/>
      <c r="W138" s="18"/>
      <c r="X138" s="19"/>
      <c r="Y138" s="18"/>
      <c r="Z138" s="19"/>
      <c r="AA138" s="18"/>
      <c r="AB138" s="19"/>
    </row>
    <row r="139" spans="1:28">
      <c r="A139" s="2" t="s">
        <v>177</v>
      </c>
      <c r="B139" s="2" t="s">
        <v>189</v>
      </c>
      <c r="C139" s="84"/>
      <c r="D139" s="83"/>
      <c r="E139" s="18"/>
      <c r="F139" s="19"/>
      <c r="G139" s="18"/>
      <c r="H139" s="19"/>
      <c r="I139" s="18"/>
      <c r="J139" s="19"/>
      <c r="K139" s="18"/>
      <c r="L139" s="19"/>
      <c r="M139" s="18"/>
      <c r="N139" s="19"/>
      <c r="O139" s="18"/>
      <c r="P139" s="19"/>
      <c r="Q139" s="18"/>
      <c r="R139" s="19"/>
      <c r="S139" s="18"/>
      <c r="T139" s="19"/>
      <c r="U139" s="18"/>
      <c r="V139" s="19"/>
      <c r="W139" s="18"/>
      <c r="X139" s="19"/>
      <c r="Y139" s="18"/>
      <c r="Z139" s="19"/>
      <c r="AA139" s="18"/>
      <c r="AB139" s="19"/>
    </row>
    <row r="140" spans="1:28">
      <c r="A140" s="2" t="s">
        <v>177</v>
      </c>
      <c r="B140" s="2" t="s">
        <v>190</v>
      </c>
      <c r="C140" s="71"/>
      <c r="D140" s="72"/>
      <c r="E140" s="85"/>
      <c r="F140" s="74"/>
      <c r="G140" s="18"/>
      <c r="H140" s="19"/>
      <c r="I140" s="18"/>
      <c r="J140" s="19"/>
      <c r="K140" s="18"/>
      <c r="L140" s="19"/>
      <c r="M140" s="18"/>
      <c r="N140" s="19"/>
      <c r="O140" s="18"/>
      <c r="P140" s="19"/>
      <c r="Q140" s="18"/>
      <c r="R140" s="19"/>
      <c r="S140" s="18"/>
      <c r="T140" s="19"/>
      <c r="U140" s="18"/>
      <c r="V140" s="19"/>
      <c r="W140" s="18"/>
      <c r="X140" s="19"/>
      <c r="Y140" s="18"/>
      <c r="Z140" s="19"/>
      <c r="AA140" s="18"/>
      <c r="AB140" s="19"/>
    </row>
    <row r="141" spans="1:28">
      <c r="A141" s="2" t="s">
        <v>177</v>
      </c>
      <c r="B141" s="2" t="s">
        <v>191</v>
      </c>
      <c r="C141" s="84"/>
      <c r="D141" s="83"/>
      <c r="E141" s="85"/>
      <c r="F141" s="74"/>
      <c r="G141" s="18"/>
      <c r="H141" s="19"/>
      <c r="I141" s="18"/>
      <c r="J141" s="19"/>
      <c r="K141" s="18"/>
      <c r="L141" s="19"/>
      <c r="M141" s="18"/>
      <c r="N141" s="19"/>
      <c r="O141" s="18"/>
      <c r="P141" s="19"/>
      <c r="Q141" s="18"/>
      <c r="R141" s="19"/>
      <c r="S141" s="18"/>
      <c r="T141" s="19"/>
      <c r="U141" s="18"/>
      <c r="V141" s="19"/>
      <c r="W141" s="18"/>
      <c r="X141" s="19"/>
      <c r="Y141" s="18"/>
      <c r="Z141" s="19"/>
      <c r="AA141" s="18"/>
      <c r="AB141" s="19"/>
    </row>
    <row r="142" spans="1:28">
      <c r="A142" s="78" t="s">
        <v>192</v>
      </c>
      <c r="B142" s="78"/>
      <c r="C142" s="55"/>
      <c r="D142" s="51"/>
      <c r="E142" s="55"/>
      <c r="F142" s="51"/>
      <c r="G142" s="55"/>
      <c r="H142" s="54"/>
      <c r="I142" s="55"/>
      <c r="J142" s="54"/>
      <c r="K142" s="56"/>
      <c r="L142" s="54"/>
      <c r="M142" s="56" t="s">
        <v>42</v>
      </c>
      <c r="N142" s="54" t="s">
        <v>42</v>
      </c>
      <c r="O142" s="56" t="s">
        <v>42</v>
      </c>
      <c r="P142" s="54" t="s">
        <v>42</v>
      </c>
      <c r="Q142" s="56" t="s">
        <v>42</v>
      </c>
      <c r="R142" s="54" t="s">
        <v>42</v>
      </c>
      <c r="S142" s="56" t="s">
        <v>42</v>
      </c>
      <c r="T142" s="54" t="s">
        <v>42</v>
      </c>
      <c r="U142" s="56" t="s">
        <v>42</v>
      </c>
      <c r="V142" s="54" t="s">
        <v>42</v>
      </c>
      <c r="W142" s="56" t="s">
        <v>42</v>
      </c>
      <c r="X142" s="54" t="s">
        <v>42</v>
      </c>
      <c r="Y142" s="56" t="s">
        <v>42</v>
      </c>
      <c r="Z142" s="54" t="s">
        <v>42</v>
      </c>
      <c r="AA142" s="56" t="s">
        <v>42</v>
      </c>
      <c r="AB142" s="54" t="s">
        <v>42</v>
      </c>
    </row>
    <row r="143" spans="1:28">
      <c r="A143" s="2" t="s">
        <v>193</v>
      </c>
      <c r="B143" s="2" t="s">
        <v>194</v>
      </c>
      <c r="C143" s="71"/>
      <c r="D143" s="72"/>
      <c r="E143" s="85"/>
      <c r="F143" s="74"/>
      <c r="G143" s="85"/>
      <c r="H143" s="19"/>
      <c r="I143" s="18"/>
      <c r="J143" s="19"/>
      <c r="K143" s="18"/>
      <c r="L143" s="19"/>
      <c r="M143" s="18"/>
      <c r="N143" s="19"/>
      <c r="O143" s="18"/>
      <c r="P143" s="19"/>
      <c r="Q143" s="18"/>
      <c r="R143" s="19"/>
      <c r="S143" s="18"/>
      <c r="T143" s="19"/>
      <c r="U143" s="18"/>
      <c r="V143" s="19"/>
      <c r="W143" s="18"/>
      <c r="X143" s="19"/>
      <c r="Y143" s="18"/>
      <c r="Z143" s="19"/>
      <c r="AA143" s="18"/>
      <c r="AB143" s="19"/>
    </row>
    <row r="144" spans="1:28">
      <c r="A144" s="2" t="s">
        <v>193</v>
      </c>
      <c r="B144" s="2" t="s">
        <v>195</v>
      </c>
      <c r="C144" s="71"/>
      <c r="D144" s="72"/>
      <c r="E144" s="85"/>
      <c r="F144" s="74"/>
      <c r="G144" s="85"/>
      <c r="H144" s="19"/>
      <c r="I144" s="85"/>
      <c r="J144" s="19"/>
      <c r="K144" s="18"/>
      <c r="L144" s="19"/>
      <c r="M144" s="18"/>
      <c r="N144" s="19"/>
      <c r="O144" s="18"/>
      <c r="P144" s="19"/>
      <c r="Q144" s="18"/>
      <c r="R144" s="19"/>
      <c r="S144" s="18"/>
      <c r="T144" s="19"/>
      <c r="U144" s="18"/>
      <c r="V144" s="19"/>
      <c r="W144" s="18"/>
      <c r="X144" s="19"/>
      <c r="Y144" s="18"/>
      <c r="Z144" s="19"/>
      <c r="AA144" s="18"/>
      <c r="AB144" s="19"/>
    </row>
    <row r="145" spans="1:28">
      <c r="A145" s="2" t="s">
        <v>193</v>
      </c>
      <c r="B145" s="2" t="s">
        <v>196</v>
      </c>
      <c r="C145" s="71"/>
      <c r="D145" s="72"/>
      <c r="E145" s="85"/>
      <c r="F145" s="74"/>
      <c r="G145" s="85"/>
      <c r="H145" s="19"/>
      <c r="I145" s="85"/>
      <c r="J145" s="19"/>
      <c r="K145" s="18"/>
      <c r="L145" s="19"/>
      <c r="M145" s="18"/>
      <c r="N145" s="19"/>
      <c r="O145" s="18"/>
      <c r="P145" s="19"/>
      <c r="Q145" s="18"/>
      <c r="R145" s="19"/>
      <c r="S145" s="18"/>
      <c r="T145" s="19"/>
      <c r="U145" s="18"/>
      <c r="V145" s="19"/>
      <c r="W145" s="18"/>
      <c r="X145" s="19"/>
      <c r="Y145" s="18"/>
      <c r="Z145" s="19"/>
      <c r="AA145" s="18"/>
      <c r="AB145" s="19"/>
    </row>
    <row r="146" spans="1:28">
      <c r="A146" s="2" t="s">
        <v>193</v>
      </c>
      <c r="B146" s="2" t="s">
        <v>197</v>
      </c>
      <c r="C146" s="71"/>
      <c r="D146" s="72"/>
      <c r="E146" s="81"/>
      <c r="F146" s="74"/>
      <c r="G146" s="81"/>
      <c r="H146" s="19"/>
      <c r="I146" s="81"/>
      <c r="J146" s="19"/>
      <c r="K146" s="82"/>
      <c r="L146" s="19"/>
      <c r="M146" s="82"/>
      <c r="N146" s="19"/>
      <c r="O146" s="82"/>
      <c r="P146" s="19"/>
      <c r="Q146" s="82"/>
      <c r="R146" s="19"/>
      <c r="S146" s="82"/>
      <c r="T146" s="19"/>
      <c r="U146" s="82"/>
      <c r="V146" s="19"/>
      <c r="W146" s="82"/>
      <c r="X146" s="19"/>
      <c r="Y146" s="82"/>
      <c r="Z146" s="19"/>
      <c r="AA146" s="82"/>
      <c r="AB146" s="19"/>
    </row>
    <row r="147" spans="1:28">
      <c r="A147" s="2" t="s">
        <v>193</v>
      </c>
      <c r="B147" s="2" t="s">
        <v>198</v>
      </c>
      <c r="C147" s="71"/>
      <c r="D147" s="72"/>
      <c r="E147" s="81"/>
      <c r="F147" s="74"/>
      <c r="G147" s="81"/>
      <c r="H147" s="19"/>
      <c r="I147" s="81"/>
      <c r="J147" s="19"/>
      <c r="K147" s="82"/>
      <c r="L147" s="19"/>
      <c r="M147" s="82"/>
      <c r="N147" s="19"/>
      <c r="O147" s="82"/>
      <c r="P147" s="19"/>
      <c r="Q147" s="82"/>
      <c r="R147" s="19"/>
      <c r="S147" s="82"/>
      <c r="T147" s="19"/>
      <c r="U147" s="82"/>
      <c r="V147" s="19"/>
      <c r="W147" s="82"/>
      <c r="X147" s="19"/>
      <c r="Y147" s="82"/>
      <c r="Z147" s="19"/>
      <c r="AA147" s="82"/>
      <c r="AB147" s="19"/>
    </row>
    <row r="148" spans="1:28">
      <c r="A148" s="2" t="s">
        <v>193</v>
      </c>
      <c r="B148" s="2" t="s">
        <v>199</v>
      </c>
      <c r="C148" s="84"/>
      <c r="D148" s="83"/>
      <c r="E148" s="18"/>
      <c r="F148" s="19"/>
      <c r="G148" s="18"/>
      <c r="H148" s="19"/>
      <c r="I148" s="18"/>
      <c r="J148" s="19"/>
      <c r="K148" s="18"/>
      <c r="L148" s="19"/>
      <c r="M148" s="18"/>
      <c r="N148" s="19"/>
      <c r="O148" s="18"/>
      <c r="P148" s="19"/>
      <c r="Q148" s="18"/>
      <c r="R148" s="19"/>
      <c r="S148" s="18"/>
      <c r="T148" s="19"/>
      <c r="U148" s="18"/>
      <c r="V148" s="19"/>
      <c r="W148" s="18"/>
      <c r="X148" s="19"/>
      <c r="Y148" s="18"/>
      <c r="Z148" s="19"/>
      <c r="AA148" s="18"/>
      <c r="AB148" s="19"/>
    </row>
    <row r="149" spans="1:28">
      <c r="A149" s="2" t="s">
        <v>193</v>
      </c>
      <c r="B149" s="2" t="s">
        <v>200</v>
      </c>
      <c r="C149" s="84"/>
      <c r="D149" s="83"/>
      <c r="E149" s="18"/>
      <c r="F149" s="19"/>
      <c r="G149" s="18"/>
      <c r="H149" s="19"/>
      <c r="I149" s="18"/>
      <c r="J149" s="19"/>
      <c r="K149" s="18"/>
      <c r="L149" s="19"/>
      <c r="M149" s="18"/>
      <c r="N149" s="19"/>
      <c r="O149" s="18"/>
      <c r="P149" s="19"/>
      <c r="Q149" s="18"/>
      <c r="R149" s="19"/>
      <c r="S149" s="18"/>
      <c r="T149" s="19"/>
      <c r="U149" s="18"/>
      <c r="V149" s="19"/>
      <c r="W149" s="18"/>
      <c r="X149" s="19"/>
      <c r="Y149" s="18"/>
      <c r="Z149" s="19"/>
      <c r="AA149" s="18"/>
      <c r="AB149" s="19"/>
    </row>
    <row r="150" spans="1:28">
      <c r="A150" s="2" t="s">
        <v>193</v>
      </c>
      <c r="B150" s="2" t="s">
        <v>201</v>
      </c>
      <c r="C150" s="84"/>
      <c r="D150" s="83"/>
      <c r="E150" s="18"/>
      <c r="F150" s="19"/>
      <c r="G150" s="18"/>
      <c r="H150" s="19"/>
      <c r="I150" s="18"/>
      <c r="J150" s="19"/>
      <c r="K150" s="18"/>
      <c r="L150" s="19"/>
      <c r="M150" s="18"/>
      <c r="N150" s="19"/>
      <c r="O150" s="18"/>
      <c r="P150" s="19"/>
      <c r="Q150" s="18"/>
      <c r="R150" s="19"/>
      <c r="S150" s="18"/>
      <c r="T150" s="19"/>
      <c r="U150" s="18"/>
      <c r="V150" s="19"/>
      <c r="W150" s="18"/>
      <c r="X150" s="19"/>
      <c r="Y150" s="18"/>
      <c r="Z150" s="19"/>
      <c r="AA150" s="18"/>
      <c r="AB150" s="19"/>
    </row>
    <row r="151" spans="1:28">
      <c r="A151" s="2" t="s">
        <v>193</v>
      </c>
      <c r="B151" s="2" t="s">
        <v>202</v>
      </c>
      <c r="C151" s="71"/>
      <c r="D151" s="72"/>
      <c r="E151" s="85"/>
      <c r="F151" s="74"/>
      <c r="G151" s="85"/>
      <c r="H151" s="19"/>
      <c r="I151" s="85"/>
      <c r="J151" s="19"/>
      <c r="K151" s="18"/>
      <c r="L151" s="19"/>
      <c r="M151" s="18"/>
      <c r="N151" s="19"/>
      <c r="O151" s="18"/>
      <c r="P151" s="19"/>
      <c r="Q151" s="18"/>
      <c r="R151" s="19"/>
      <c r="S151" s="18"/>
      <c r="T151" s="19"/>
      <c r="U151" s="18"/>
      <c r="V151" s="19"/>
      <c r="W151" s="18"/>
      <c r="X151" s="19"/>
      <c r="Y151" s="18"/>
      <c r="Z151" s="19"/>
      <c r="AA151" s="18"/>
      <c r="AB151" s="19"/>
    </row>
    <row r="152" spans="1:28">
      <c r="A152" s="2" t="s">
        <v>193</v>
      </c>
      <c r="B152" s="2" t="s">
        <v>203</v>
      </c>
      <c r="C152" s="84"/>
      <c r="D152" s="83"/>
      <c r="E152" s="18"/>
      <c r="F152" s="19"/>
      <c r="G152" s="18"/>
      <c r="H152" s="19"/>
      <c r="I152" s="18"/>
      <c r="J152" s="19"/>
      <c r="K152" s="18"/>
      <c r="L152" s="19"/>
      <c r="M152" s="18"/>
      <c r="N152" s="19"/>
      <c r="O152" s="18"/>
      <c r="P152" s="19"/>
      <c r="Q152" s="18"/>
      <c r="R152" s="19"/>
      <c r="S152" s="18"/>
      <c r="T152" s="19"/>
      <c r="U152" s="18"/>
      <c r="V152" s="19"/>
      <c r="W152" s="18"/>
      <c r="X152" s="19"/>
      <c r="Y152" s="18"/>
      <c r="Z152" s="19"/>
      <c r="AA152" s="18"/>
      <c r="AB152" s="19"/>
    </row>
    <row r="153" spans="1:28">
      <c r="A153" s="78" t="s">
        <v>204</v>
      </c>
      <c r="B153" s="78"/>
      <c r="C153" s="55"/>
      <c r="D153" s="51"/>
      <c r="E153" s="55"/>
      <c r="F153" s="51"/>
      <c r="G153" s="55"/>
      <c r="H153" s="54"/>
      <c r="I153" s="55"/>
      <c r="J153" s="54"/>
      <c r="K153" s="56"/>
      <c r="L153" s="54"/>
      <c r="M153" s="56" t="s">
        <v>42</v>
      </c>
      <c r="N153" s="54" t="s">
        <v>42</v>
      </c>
      <c r="O153" s="56" t="s">
        <v>42</v>
      </c>
      <c r="P153" s="54" t="s">
        <v>42</v>
      </c>
      <c r="Q153" s="56" t="s">
        <v>42</v>
      </c>
      <c r="R153" s="54" t="s">
        <v>42</v>
      </c>
      <c r="S153" s="56" t="s">
        <v>42</v>
      </c>
      <c r="T153" s="54" t="s">
        <v>42</v>
      </c>
      <c r="U153" s="56" t="s">
        <v>42</v>
      </c>
      <c r="V153" s="54" t="s">
        <v>42</v>
      </c>
      <c r="W153" s="56" t="s">
        <v>42</v>
      </c>
      <c r="X153" s="54" t="s">
        <v>42</v>
      </c>
      <c r="Y153" s="56" t="s">
        <v>42</v>
      </c>
      <c r="Z153" s="54" t="s">
        <v>42</v>
      </c>
      <c r="AA153" s="56" t="s">
        <v>42</v>
      </c>
      <c r="AB153" s="54" t="s">
        <v>42</v>
      </c>
    </row>
    <row r="154" spans="1:28">
      <c r="A154" s="2" t="s">
        <v>205</v>
      </c>
      <c r="B154" s="2" t="s">
        <v>206</v>
      </c>
      <c r="C154" s="71"/>
      <c r="D154" s="83"/>
      <c r="E154" s="25"/>
      <c r="F154" s="19"/>
      <c r="G154" s="18"/>
      <c r="H154" s="19"/>
      <c r="I154" s="18"/>
      <c r="J154" s="19"/>
      <c r="K154" s="18"/>
      <c r="L154" s="19"/>
      <c r="M154" s="18"/>
      <c r="N154" s="19"/>
      <c r="O154" s="18"/>
      <c r="P154" s="19"/>
      <c r="Q154" s="18"/>
      <c r="R154" s="19"/>
      <c r="S154" s="18"/>
      <c r="T154" s="19"/>
      <c r="U154" s="18"/>
      <c r="V154" s="19"/>
      <c r="W154" s="18"/>
      <c r="X154" s="19"/>
      <c r="Y154" s="18"/>
      <c r="Z154" s="19"/>
      <c r="AA154" s="18"/>
      <c r="AB154" s="19"/>
    </row>
    <row r="155" spans="1:28">
      <c r="A155" s="2" t="s">
        <v>205</v>
      </c>
      <c r="B155" s="2" t="s">
        <v>207</v>
      </c>
      <c r="C155" s="71"/>
      <c r="D155" s="83"/>
      <c r="E155" s="85"/>
      <c r="F155" s="19"/>
      <c r="G155" s="85"/>
      <c r="H155" s="19"/>
      <c r="I155" s="85"/>
      <c r="J155" s="19"/>
      <c r="K155" s="18"/>
      <c r="L155" s="19"/>
      <c r="M155" s="18"/>
      <c r="N155" s="19"/>
      <c r="O155" s="18"/>
      <c r="P155" s="19"/>
      <c r="Q155" s="18"/>
      <c r="R155" s="19"/>
      <c r="S155" s="18"/>
      <c r="T155" s="19"/>
      <c r="U155" s="18"/>
      <c r="V155" s="19"/>
      <c r="W155" s="18"/>
      <c r="X155" s="19"/>
      <c r="Y155" s="18"/>
      <c r="Z155" s="19"/>
      <c r="AA155" s="18"/>
      <c r="AB155" s="19"/>
    </row>
    <row r="156" spans="1:28">
      <c r="A156" s="2" t="s">
        <v>205</v>
      </c>
      <c r="B156" s="2" t="s">
        <v>208</v>
      </c>
      <c r="C156" s="71"/>
      <c r="D156" s="83"/>
      <c r="E156" s="85"/>
      <c r="F156" s="19"/>
      <c r="G156" s="81"/>
      <c r="H156" s="19"/>
      <c r="I156" s="81"/>
      <c r="J156" s="19"/>
      <c r="K156" s="82"/>
      <c r="L156" s="19"/>
      <c r="M156" s="82"/>
      <c r="N156" s="19"/>
      <c r="O156" s="82"/>
      <c r="P156" s="19"/>
      <c r="Q156" s="82"/>
      <c r="R156" s="19"/>
      <c r="S156" s="82"/>
      <c r="T156" s="19"/>
      <c r="U156" s="82"/>
      <c r="V156" s="19"/>
      <c r="W156" s="82"/>
      <c r="X156" s="19"/>
      <c r="Y156" s="82"/>
      <c r="Z156" s="19"/>
      <c r="AA156" s="82"/>
      <c r="AB156" s="19"/>
    </row>
    <row r="157" spans="1:28">
      <c r="A157" s="2" t="s">
        <v>205</v>
      </c>
      <c r="B157" s="2" t="s">
        <v>209</v>
      </c>
      <c r="C157" s="71"/>
      <c r="D157" s="83"/>
      <c r="E157" s="85"/>
      <c r="F157" s="19"/>
      <c r="G157" s="81"/>
      <c r="H157" s="19"/>
      <c r="I157" s="81"/>
      <c r="J157" s="19"/>
      <c r="K157" s="82"/>
      <c r="L157" s="19"/>
      <c r="M157" s="82"/>
      <c r="N157" s="19"/>
      <c r="O157" s="82"/>
      <c r="P157" s="19"/>
      <c r="Q157" s="82"/>
      <c r="R157" s="19"/>
      <c r="S157" s="82"/>
      <c r="T157" s="19"/>
      <c r="U157" s="82"/>
      <c r="V157" s="19"/>
      <c r="W157" s="82"/>
      <c r="X157" s="19"/>
      <c r="Y157" s="82"/>
      <c r="Z157" s="19"/>
      <c r="AA157" s="82"/>
      <c r="AB157" s="19"/>
    </row>
    <row r="158" spans="1:28">
      <c r="A158" s="2" t="s">
        <v>205</v>
      </c>
      <c r="B158" s="2" t="s">
        <v>210</v>
      </c>
      <c r="C158" s="71"/>
      <c r="D158" s="83"/>
      <c r="E158" s="85"/>
      <c r="F158" s="19"/>
      <c r="G158" s="81"/>
      <c r="H158" s="19"/>
      <c r="I158" s="81"/>
      <c r="J158" s="19"/>
      <c r="K158" s="82"/>
      <c r="L158" s="19"/>
      <c r="M158" s="82"/>
      <c r="N158" s="19"/>
      <c r="O158" s="82"/>
      <c r="P158" s="19"/>
      <c r="Q158" s="82"/>
      <c r="R158" s="19"/>
      <c r="S158" s="82"/>
      <c r="T158" s="19"/>
      <c r="U158" s="82"/>
      <c r="V158" s="19"/>
      <c r="W158" s="82"/>
      <c r="X158" s="19"/>
      <c r="Y158" s="82"/>
      <c r="Z158" s="19"/>
      <c r="AA158" s="82"/>
      <c r="AB158" s="19"/>
    </row>
    <row r="159" spans="1:28">
      <c r="A159" s="2" t="s">
        <v>205</v>
      </c>
      <c r="B159" s="2" t="s">
        <v>211</v>
      </c>
      <c r="C159" s="71"/>
      <c r="D159" s="83"/>
      <c r="E159" s="18"/>
      <c r="F159" s="19"/>
      <c r="G159" s="100"/>
      <c r="H159" s="19"/>
      <c r="I159" s="81"/>
      <c r="J159" s="19"/>
      <c r="K159" s="82"/>
      <c r="L159" s="19"/>
      <c r="M159" s="82"/>
      <c r="N159" s="19"/>
      <c r="O159" s="82"/>
      <c r="P159" s="19"/>
      <c r="Q159" s="82"/>
      <c r="R159" s="19"/>
      <c r="S159" s="82"/>
      <c r="T159" s="19"/>
      <c r="U159" s="82"/>
      <c r="V159" s="19"/>
      <c r="W159" s="82"/>
      <c r="X159" s="19"/>
      <c r="Y159" s="82"/>
      <c r="Z159" s="19"/>
      <c r="AA159" s="82"/>
      <c r="AB159" s="19"/>
    </row>
    <row r="160" spans="1:28">
      <c r="A160" s="2" t="s">
        <v>205</v>
      </c>
      <c r="B160" s="2" t="s">
        <v>212</v>
      </c>
      <c r="C160" s="71"/>
      <c r="D160" s="72"/>
      <c r="E160" s="85"/>
      <c r="F160" s="74"/>
      <c r="G160" s="81"/>
      <c r="H160" s="19"/>
      <c r="I160" s="81"/>
      <c r="J160" s="19"/>
      <c r="K160" s="82"/>
      <c r="L160" s="19"/>
      <c r="M160" s="82"/>
      <c r="N160" s="19"/>
      <c r="O160" s="82"/>
      <c r="P160" s="19"/>
      <c r="Q160" s="82"/>
      <c r="R160" s="19"/>
      <c r="S160" s="82"/>
      <c r="T160" s="19"/>
      <c r="U160" s="82"/>
      <c r="V160" s="19"/>
      <c r="W160" s="82"/>
      <c r="X160" s="19"/>
      <c r="Y160" s="82"/>
      <c r="Z160" s="19"/>
      <c r="AA160" s="82"/>
      <c r="AB160" s="19"/>
    </row>
    <row r="161" spans="1:28">
      <c r="A161" s="2" t="s">
        <v>205</v>
      </c>
      <c r="B161" s="2" t="s">
        <v>213</v>
      </c>
      <c r="C161" s="71"/>
      <c r="D161" s="83"/>
      <c r="E161" s="85"/>
      <c r="F161" s="19"/>
      <c r="G161" s="81"/>
      <c r="H161" s="19"/>
      <c r="I161" s="81"/>
      <c r="J161" s="19"/>
      <c r="K161" s="82"/>
      <c r="L161" s="19"/>
      <c r="M161" s="82"/>
      <c r="N161" s="19"/>
      <c r="O161" s="82"/>
      <c r="P161" s="19"/>
      <c r="Q161" s="82"/>
      <c r="R161" s="19"/>
      <c r="S161" s="82"/>
      <c r="T161" s="19"/>
      <c r="U161" s="82"/>
      <c r="V161" s="19"/>
      <c r="W161" s="82"/>
      <c r="X161" s="19"/>
      <c r="Y161" s="82"/>
      <c r="Z161" s="19"/>
      <c r="AA161" s="82"/>
      <c r="AB161" s="19"/>
    </row>
    <row r="162" spans="1:28">
      <c r="A162" s="2" t="s">
        <v>205</v>
      </c>
      <c r="B162" s="2" t="s">
        <v>214</v>
      </c>
      <c r="C162" s="84"/>
      <c r="D162" s="72"/>
      <c r="E162" s="85"/>
      <c r="F162" s="74"/>
      <c r="G162" s="81"/>
      <c r="H162" s="19"/>
      <c r="I162" s="81"/>
      <c r="J162" s="19"/>
      <c r="K162" s="82"/>
      <c r="L162" s="19"/>
      <c r="M162" s="82"/>
      <c r="N162" s="19"/>
      <c r="O162" s="82"/>
      <c r="P162" s="19"/>
      <c r="Q162" s="82"/>
      <c r="R162" s="19"/>
      <c r="S162" s="82"/>
      <c r="T162" s="19"/>
      <c r="U162" s="82"/>
      <c r="V162" s="19"/>
      <c r="W162" s="82"/>
      <c r="X162" s="19"/>
      <c r="Y162" s="82"/>
      <c r="Z162" s="19"/>
      <c r="AA162" s="82"/>
      <c r="AB162" s="19"/>
    </row>
    <row r="163" spans="1:28">
      <c r="A163" s="2" t="s">
        <v>205</v>
      </c>
      <c r="B163" s="2" t="s">
        <v>215</v>
      </c>
      <c r="C163" s="84"/>
      <c r="D163" s="72"/>
      <c r="E163" s="85"/>
      <c r="F163" s="74"/>
      <c r="G163" s="81"/>
      <c r="H163" s="19"/>
      <c r="I163" s="81"/>
      <c r="J163" s="19"/>
      <c r="K163" s="82"/>
      <c r="L163" s="19"/>
      <c r="M163" s="82"/>
      <c r="N163" s="19"/>
      <c r="O163" s="82"/>
      <c r="P163" s="19"/>
      <c r="Q163" s="82"/>
      <c r="R163" s="19"/>
      <c r="S163" s="82"/>
      <c r="T163" s="19"/>
      <c r="U163" s="82"/>
      <c r="V163" s="19"/>
      <c r="W163" s="82"/>
      <c r="X163" s="19"/>
      <c r="Y163" s="82"/>
      <c r="Z163" s="19"/>
      <c r="AA163" s="82"/>
      <c r="AB163" s="19"/>
    </row>
    <row r="164" spans="1:28">
      <c r="A164" s="2" t="s">
        <v>205</v>
      </c>
      <c r="B164" s="2" t="s">
        <v>216</v>
      </c>
      <c r="C164" s="71"/>
      <c r="D164" s="72"/>
      <c r="E164" s="85"/>
      <c r="F164" s="74"/>
      <c r="G164" s="81"/>
      <c r="H164" s="19"/>
      <c r="I164" s="81"/>
      <c r="J164" s="19"/>
      <c r="K164" s="82"/>
      <c r="L164" s="19"/>
      <c r="M164" s="82"/>
      <c r="N164" s="19"/>
      <c r="O164" s="82"/>
      <c r="P164" s="19"/>
      <c r="Q164" s="82"/>
      <c r="R164" s="19"/>
      <c r="S164" s="82"/>
      <c r="T164" s="19"/>
      <c r="U164" s="82"/>
      <c r="V164" s="19"/>
      <c r="W164" s="82"/>
      <c r="X164" s="19"/>
      <c r="Y164" s="82"/>
      <c r="Z164" s="19"/>
      <c r="AA164" s="82"/>
      <c r="AB164" s="19"/>
    </row>
    <row r="165" spans="1:28">
      <c r="A165" s="2" t="s">
        <v>205</v>
      </c>
      <c r="B165" s="2" t="s">
        <v>217</v>
      </c>
      <c r="C165" s="71"/>
      <c r="D165" s="83"/>
      <c r="E165" s="18"/>
      <c r="F165" s="19"/>
      <c r="G165" s="85"/>
      <c r="H165" s="19"/>
      <c r="I165" s="85"/>
      <c r="J165" s="19"/>
      <c r="K165" s="85"/>
      <c r="L165" s="19"/>
      <c r="M165" s="85">
        <v>1782408.75</v>
      </c>
      <c r="N165" s="19"/>
      <c r="O165" s="85">
        <v>1775288.53</v>
      </c>
      <c r="P165" s="19"/>
      <c r="Q165" s="18"/>
      <c r="R165" s="19"/>
      <c r="S165" s="18"/>
      <c r="T165" s="19"/>
      <c r="U165" s="18"/>
      <c r="V165" s="19"/>
      <c r="W165" s="18"/>
      <c r="X165" s="19"/>
      <c r="Y165" s="18"/>
      <c r="Z165" s="19"/>
      <c r="AA165" s="18"/>
      <c r="AB165" s="19"/>
    </row>
    <row r="166" spans="1:28">
      <c r="A166" s="78" t="s">
        <v>218</v>
      </c>
      <c r="B166" s="78"/>
      <c r="C166" s="55"/>
      <c r="D166" s="51"/>
      <c r="E166" s="55"/>
      <c r="F166" s="51"/>
      <c r="G166" s="55"/>
      <c r="H166" s="54"/>
      <c r="I166" s="55"/>
      <c r="J166" s="54"/>
      <c r="K166" s="55"/>
      <c r="L166" s="54"/>
      <c r="M166" s="55">
        <v>1782408.75</v>
      </c>
      <c r="N166" s="54" t="s">
        <v>42</v>
      </c>
      <c r="O166" s="55">
        <v>1775288.53</v>
      </c>
      <c r="P166" s="54" t="s">
        <v>42</v>
      </c>
      <c r="Q166" s="56" t="s">
        <v>42</v>
      </c>
      <c r="R166" s="54" t="s">
        <v>42</v>
      </c>
      <c r="S166" s="55">
        <v>0</v>
      </c>
      <c r="T166" s="54" t="s">
        <v>41</v>
      </c>
      <c r="U166" s="56" t="s">
        <v>42</v>
      </c>
      <c r="V166" s="54" t="s">
        <v>42</v>
      </c>
      <c r="W166" s="56" t="s">
        <v>42</v>
      </c>
      <c r="X166" s="54" t="s">
        <v>42</v>
      </c>
      <c r="Y166" s="56" t="s">
        <v>42</v>
      </c>
      <c r="Z166" s="54" t="s">
        <v>42</v>
      </c>
      <c r="AA166" s="56" t="s">
        <v>42</v>
      </c>
      <c r="AB166" s="54" t="s">
        <v>42</v>
      </c>
    </row>
    <row r="167" spans="1:28">
      <c r="A167" s="78" t="s">
        <v>83</v>
      </c>
      <c r="B167" s="78"/>
      <c r="C167" s="55"/>
      <c r="D167" s="51"/>
      <c r="E167" s="55"/>
      <c r="F167" s="51"/>
      <c r="G167" s="55"/>
      <c r="H167" s="51"/>
      <c r="I167" s="55"/>
      <c r="J167" s="54"/>
      <c r="K167" s="55"/>
      <c r="L167" s="54"/>
      <c r="M167" s="55">
        <v>2424074.75</v>
      </c>
      <c r="N167" s="54" t="s">
        <v>42</v>
      </c>
      <c r="O167" s="55">
        <v>1775288.53</v>
      </c>
      <c r="P167" s="54" t="s">
        <v>42</v>
      </c>
      <c r="Q167" s="56" t="s">
        <v>42</v>
      </c>
      <c r="R167" s="54" t="s">
        <v>42</v>
      </c>
      <c r="S167" s="56" t="s">
        <v>42</v>
      </c>
      <c r="T167" s="54" t="s">
        <v>42</v>
      </c>
      <c r="U167" s="56" t="s">
        <v>42</v>
      </c>
      <c r="V167" s="54" t="s">
        <v>42</v>
      </c>
      <c r="W167" s="56" t="s">
        <v>42</v>
      </c>
      <c r="X167" s="54" t="s">
        <v>42</v>
      </c>
      <c r="Y167" s="56" t="s">
        <v>42</v>
      </c>
      <c r="Z167" s="54" t="s">
        <v>42</v>
      </c>
      <c r="AA167" s="56" t="s">
        <v>42</v>
      </c>
      <c r="AB167" s="5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3C91-1978-4701-83E8-22FEA57880F1}">
  <dimension ref="A1:AD23"/>
  <sheetViews>
    <sheetView workbookViewId="0">
      <selection activeCell="I4" sqref="I4"/>
    </sheetView>
  </sheetViews>
  <sheetFormatPr baseColWidth="10" defaultRowHeight="15"/>
  <cols>
    <col min="2" max="2" width="20.85546875" bestFit="1" customWidth="1"/>
    <col min="7" max="7" width="20.7109375" bestFit="1" customWidth="1"/>
  </cols>
  <sheetData>
    <row r="1" spans="1:30" s="309" customFormat="1">
      <c r="A1" s="309" t="s">
        <v>360</v>
      </c>
    </row>
    <row r="2" spans="1:30">
      <c r="A2" s="296" t="s">
        <v>338</v>
      </c>
      <c r="B2" s="195"/>
      <c r="C2" s="195"/>
      <c r="D2" s="195" t="s">
        <v>339</v>
      </c>
      <c r="E2" s="297"/>
      <c r="F2" s="195"/>
      <c r="G2" s="195"/>
      <c r="H2" s="195" t="s">
        <v>339</v>
      </c>
      <c r="I2" s="297"/>
      <c r="J2" s="195"/>
      <c r="K2" s="195" t="s">
        <v>339</v>
      </c>
      <c r="L2" s="195" t="s">
        <v>340</v>
      </c>
      <c r="M2" s="195" t="s">
        <v>339</v>
      </c>
      <c r="N2" s="195" t="s">
        <v>340</v>
      </c>
      <c r="O2" s="195" t="s">
        <v>339</v>
      </c>
      <c r="P2" s="195" t="s">
        <v>340</v>
      </c>
      <c r="Q2" s="195" t="s">
        <v>339</v>
      </c>
      <c r="R2" s="195" t="s">
        <v>340</v>
      </c>
      <c r="S2" s="195" t="s">
        <v>339</v>
      </c>
      <c r="T2" s="195" t="s">
        <v>340</v>
      </c>
      <c r="U2" s="195" t="s">
        <v>339</v>
      </c>
      <c r="V2" s="195" t="s">
        <v>340</v>
      </c>
      <c r="W2" s="195" t="s">
        <v>339</v>
      </c>
      <c r="X2" s="195" t="s">
        <v>340</v>
      </c>
      <c r="Y2" s="195" t="s">
        <v>339</v>
      </c>
      <c r="Z2" s="195" t="s">
        <v>340</v>
      </c>
      <c r="AA2" s="195" t="s">
        <v>339</v>
      </c>
      <c r="AB2" s="195" t="s">
        <v>340</v>
      </c>
      <c r="AC2" s="195" t="s">
        <v>339</v>
      </c>
      <c r="AD2" s="195" t="s">
        <v>340</v>
      </c>
    </row>
    <row r="3" spans="1:30">
      <c r="A3" s="195" t="s">
        <v>341</v>
      </c>
      <c r="B3" s="297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</row>
    <row r="4" spans="1:30">
      <c r="A4" s="195" t="s">
        <v>342</v>
      </c>
      <c r="B4" s="297"/>
      <c r="C4" s="195"/>
      <c r="D4" s="297">
        <v>1180000</v>
      </c>
      <c r="E4" s="297"/>
      <c r="F4" s="195"/>
      <c r="G4" s="195"/>
      <c r="H4" s="297"/>
      <c r="I4" s="297"/>
      <c r="J4" s="195"/>
      <c r="K4" s="195" t="s">
        <v>340</v>
      </c>
      <c r="L4" s="195" t="s">
        <v>340</v>
      </c>
      <c r="M4" s="195" t="s">
        <v>340</v>
      </c>
      <c r="N4" s="195" t="s">
        <v>340</v>
      </c>
      <c r="O4" s="195" t="s">
        <v>340</v>
      </c>
      <c r="P4" s="195" t="s">
        <v>340</v>
      </c>
      <c r="Q4" s="195" t="s">
        <v>340</v>
      </c>
      <c r="R4" s="195" t="s">
        <v>340</v>
      </c>
      <c r="S4" s="195" t="s">
        <v>340</v>
      </c>
      <c r="T4" s="195" t="s">
        <v>340</v>
      </c>
      <c r="U4" s="195" t="s">
        <v>340</v>
      </c>
      <c r="V4" s="195" t="s">
        <v>340</v>
      </c>
      <c r="W4" s="195" t="s">
        <v>340</v>
      </c>
      <c r="X4" s="195" t="s">
        <v>340</v>
      </c>
      <c r="Y4" s="195" t="s">
        <v>340</v>
      </c>
      <c r="Z4" s="195" t="s">
        <v>340</v>
      </c>
      <c r="AA4" s="195" t="s">
        <v>340</v>
      </c>
      <c r="AB4" s="195" t="s">
        <v>340</v>
      </c>
      <c r="AC4" s="195" t="s">
        <v>340</v>
      </c>
      <c r="AD4" s="195" t="s">
        <v>340</v>
      </c>
    </row>
    <row r="5" spans="1:30">
      <c r="A5" s="195"/>
      <c r="B5" s="402" t="s">
        <v>343</v>
      </c>
      <c r="C5" s="402"/>
      <c r="D5" s="402"/>
      <c r="E5" s="402"/>
      <c r="F5" s="298" t="s">
        <v>344</v>
      </c>
      <c r="G5" s="299" t="s">
        <v>345</v>
      </c>
      <c r="H5" s="298"/>
      <c r="I5" s="300"/>
      <c r="J5" s="301"/>
      <c r="K5" s="301" t="s">
        <v>346</v>
      </c>
      <c r="L5" s="301"/>
      <c r="M5" s="301" t="s">
        <v>347</v>
      </c>
      <c r="N5" s="301"/>
      <c r="O5" s="301" t="s">
        <v>348</v>
      </c>
      <c r="P5" s="301"/>
      <c r="Q5" s="301" t="s">
        <v>349</v>
      </c>
      <c r="R5" s="301"/>
      <c r="S5" s="301" t="s">
        <v>350</v>
      </c>
      <c r="T5" s="301"/>
      <c r="U5" s="301" t="s">
        <v>351</v>
      </c>
      <c r="V5" s="301"/>
      <c r="W5" s="301" t="s">
        <v>352</v>
      </c>
      <c r="X5" s="301"/>
      <c r="Y5" s="301" t="s">
        <v>353</v>
      </c>
      <c r="Z5" s="301"/>
      <c r="AA5" s="301" t="s">
        <v>354</v>
      </c>
      <c r="AB5" s="301"/>
      <c r="AC5" s="301" t="s">
        <v>355</v>
      </c>
      <c r="AD5" s="301"/>
    </row>
    <row r="6" spans="1:30">
      <c r="A6" s="195" t="s">
        <v>344</v>
      </c>
      <c r="B6" s="195" t="s">
        <v>356</v>
      </c>
      <c r="C6" s="195" t="s">
        <v>357</v>
      </c>
      <c r="D6" s="302" t="s">
        <v>358</v>
      </c>
      <c r="E6" s="303" t="s">
        <v>359</v>
      </c>
      <c r="F6" s="301"/>
      <c r="G6" s="301"/>
      <c r="H6" s="302" t="s">
        <v>358</v>
      </c>
      <c r="I6" s="303" t="s">
        <v>359</v>
      </c>
      <c r="J6" s="301"/>
      <c r="K6" s="302" t="s">
        <v>358</v>
      </c>
      <c r="L6" s="303" t="s">
        <v>359</v>
      </c>
      <c r="M6" s="302" t="s">
        <v>358</v>
      </c>
      <c r="N6" s="303" t="s">
        <v>359</v>
      </c>
      <c r="O6" s="302" t="s">
        <v>358</v>
      </c>
      <c r="P6" s="303" t="s">
        <v>359</v>
      </c>
      <c r="Q6" s="302" t="s">
        <v>358</v>
      </c>
      <c r="R6" s="303" t="s">
        <v>359</v>
      </c>
      <c r="S6" s="302" t="s">
        <v>358</v>
      </c>
      <c r="T6" s="303" t="s">
        <v>359</v>
      </c>
      <c r="U6" s="302" t="s">
        <v>358</v>
      </c>
      <c r="V6" s="303" t="s">
        <v>359</v>
      </c>
      <c r="W6" s="302" t="s">
        <v>358</v>
      </c>
      <c r="X6" s="303" t="s">
        <v>359</v>
      </c>
      <c r="Y6" s="302" t="s">
        <v>358</v>
      </c>
      <c r="Z6" s="303" t="s">
        <v>359</v>
      </c>
      <c r="AA6" s="302" t="s">
        <v>358</v>
      </c>
      <c r="AB6" s="303" t="s">
        <v>359</v>
      </c>
      <c r="AC6" s="302" t="s">
        <v>358</v>
      </c>
      <c r="AD6" s="303" t="s">
        <v>359</v>
      </c>
    </row>
    <row r="7" spans="1:30">
      <c r="A7" s="304">
        <v>46030</v>
      </c>
      <c r="B7" s="195"/>
      <c r="C7" s="195"/>
      <c r="D7" s="305"/>
      <c r="E7" s="306"/>
      <c r="F7" s="304">
        <v>46055</v>
      </c>
      <c r="G7" s="195"/>
      <c r="H7" s="307"/>
      <c r="I7" s="308"/>
      <c r="J7" s="195"/>
      <c r="K7" s="307"/>
      <c r="L7" s="306"/>
      <c r="M7" s="307"/>
      <c r="N7" s="306"/>
      <c r="O7" s="307"/>
      <c r="P7" s="306"/>
      <c r="Q7" s="307"/>
      <c r="R7" s="306"/>
      <c r="S7" s="307"/>
      <c r="T7" s="306"/>
      <c r="U7" s="307"/>
      <c r="V7" s="306"/>
      <c r="W7" s="307"/>
      <c r="X7" s="306"/>
      <c r="Y7" s="307"/>
      <c r="Z7" s="306"/>
      <c r="AA7" s="307"/>
      <c r="AB7" s="306"/>
      <c r="AC7" s="307"/>
      <c r="AD7" s="306"/>
    </row>
    <row r="8" spans="1:30">
      <c r="A8" s="304">
        <v>46043</v>
      </c>
      <c r="B8" s="195"/>
      <c r="C8" s="195"/>
      <c r="D8" s="305"/>
      <c r="E8" s="306"/>
      <c r="F8" s="304">
        <v>46055</v>
      </c>
      <c r="G8" s="195"/>
      <c r="H8" s="307"/>
      <c r="I8" s="308"/>
      <c r="J8" s="195"/>
      <c r="K8" s="307"/>
      <c r="L8" s="306"/>
      <c r="M8" s="307"/>
      <c r="N8" s="306"/>
      <c r="O8" s="307"/>
      <c r="P8" s="306"/>
      <c r="Q8" s="307"/>
      <c r="R8" s="306"/>
      <c r="S8" s="307"/>
      <c r="T8" s="306"/>
      <c r="U8" s="307"/>
      <c r="V8" s="306"/>
      <c r="W8" s="307"/>
      <c r="X8" s="306"/>
      <c r="Y8" s="307"/>
      <c r="Z8" s="306"/>
      <c r="AA8" s="307"/>
      <c r="AB8" s="306"/>
      <c r="AC8" s="307"/>
      <c r="AD8" s="306"/>
    </row>
    <row r="9" spans="1:30">
      <c r="A9" s="304">
        <v>46036</v>
      </c>
      <c r="B9" s="195"/>
      <c r="C9" s="195"/>
      <c r="D9" s="307"/>
      <c r="E9" s="308"/>
      <c r="F9" s="304">
        <v>46055</v>
      </c>
      <c r="G9" s="195"/>
      <c r="H9" s="307"/>
      <c r="I9" s="308"/>
      <c r="J9" s="195"/>
      <c r="K9" s="307"/>
      <c r="L9" s="306"/>
      <c r="M9" s="307"/>
      <c r="N9" s="306"/>
      <c r="O9" s="307"/>
      <c r="P9" s="306"/>
      <c r="Q9" s="307"/>
      <c r="R9" s="306"/>
      <c r="S9" s="307"/>
      <c r="T9" s="306"/>
      <c r="U9" s="307"/>
      <c r="V9" s="306"/>
      <c r="W9" s="307"/>
      <c r="X9" s="306"/>
      <c r="Y9" s="307"/>
      <c r="Z9" s="306"/>
      <c r="AA9" s="307"/>
      <c r="AB9" s="306"/>
      <c r="AC9" s="307"/>
      <c r="AD9" s="306"/>
    </row>
    <row r="10" spans="1:30">
      <c r="A10" s="304">
        <v>46037</v>
      </c>
      <c r="B10" s="195"/>
      <c r="C10" s="195"/>
      <c r="D10" s="307"/>
      <c r="E10" s="308"/>
      <c r="F10" s="304">
        <v>46055</v>
      </c>
      <c r="G10" s="195"/>
      <c r="H10" s="307"/>
      <c r="I10" s="308"/>
      <c r="J10" s="195"/>
      <c r="K10" s="307"/>
      <c r="L10" s="306"/>
      <c r="M10" s="307"/>
      <c r="N10" s="306"/>
      <c r="O10" s="307"/>
      <c r="P10" s="306"/>
      <c r="Q10" s="307"/>
      <c r="R10" s="306"/>
      <c r="S10" s="307"/>
      <c r="T10" s="306"/>
      <c r="U10" s="307"/>
      <c r="V10" s="306"/>
      <c r="W10" s="307"/>
      <c r="X10" s="306"/>
      <c r="Y10" s="307"/>
      <c r="Z10" s="306"/>
      <c r="AA10" s="307"/>
      <c r="AB10" s="306"/>
      <c r="AC10" s="307"/>
      <c r="AD10" s="306"/>
    </row>
    <row r="11" spans="1:30">
      <c r="A11" s="304">
        <v>46037</v>
      </c>
      <c r="B11" s="195"/>
      <c r="C11" s="195"/>
      <c r="D11" s="307"/>
      <c r="E11" s="308"/>
      <c r="F11" s="304">
        <v>46055</v>
      </c>
      <c r="G11" s="195"/>
      <c r="H11" s="307"/>
      <c r="I11" s="308"/>
      <c r="J11" s="195"/>
      <c r="K11" s="307"/>
      <c r="L11" s="306"/>
      <c r="M11" s="307"/>
      <c r="N11" s="306"/>
      <c r="O11" s="307"/>
      <c r="P11" s="306"/>
      <c r="Q11" s="307"/>
      <c r="R11" s="306"/>
      <c r="S11" s="307"/>
      <c r="T11" s="306"/>
      <c r="U11" s="307"/>
      <c r="V11" s="306"/>
      <c r="W11" s="307"/>
      <c r="X11" s="306"/>
      <c r="Y11" s="307"/>
      <c r="Z11" s="306"/>
      <c r="AA11" s="307"/>
      <c r="AB11" s="306"/>
      <c r="AC11" s="307"/>
      <c r="AD11" s="306"/>
    </row>
    <row r="12" spans="1:30">
      <c r="A12" s="304">
        <v>46037</v>
      </c>
      <c r="B12" s="195"/>
      <c r="C12" s="195"/>
      <c r="D12" s="307"/>
      <c r="E12" s="308"/>
      <c r="F12" s="304">
        <v>46058</v>
      </c>
      <c r="G12" s="195"/>
      <c r="H12" s="305"/>
      <c r="I12" s="306"/>
      <c r="J12" s="195"/>
      <c r="K12" s="307"/>
      <c r="L12" s="306"/>
      <c r="M12" s="307"/>
      <c r="N12" s="306"/>
      <c r="O12" s="307"/>
      <c r="P12" s="306"/>
      <c r="Q12" s="307"/>
      <c r="R12" s="306"/>
      <c r="S12" s="307"/>
      <c r="T12" s="306"/>
      <c r="U12" s="307"/>
      <c r="V12" s="306"/>
      <c r="W12" s="307"/>
      <c r="X12" s="306"/>
      <c r="Y12" s="307"/>
      <c r="Z12" s="306"/>
      <c r="AA12" s="307"/>
      <c r="AB12" s="306"/>
      <c r="AC12" s="307"/>
      <c r="AD12" s="306"/>
    </row>
    <row r="13" spans="1:30">
      <c r="A13" s="304">
        <v>46048</v>
      </c>
      <c r="B13" s="195"/>
      <c r="C13" s="195"/>
      <c r="D13" s="307"/>
      <c r="E13" s="308"/>
      <c r="F13" s="304">
        <v>46065</v>
      </c>
      <c r="G13" s="195"/>
      <c r="H13" s="307"/>
      <c r="I13" s="308"/>
      <c r="J13" s="195"/>
      <c r="K13" s="307"/>
      <c r="L13" s="306"/>
      <c r="M13" s="307"/>
      <c r="N13" s="306"/>
      <c r="O13" s="307"/>
      <c r="P13" s="306"/>
      <c r="Q13" s="307"/>
      <c r="R13" s="306"/>
      <c r="S13" s="307"/>
      <c r="T13" s="306"/>
      <c r="U13" s="307"/>
      <c r="V13" s="306"/>
      <c r="W13" s="307"/>
      <c r="X13" s="306"/>
      <c r="Y13" s="307"/>
      <c r="Z13" s="306"/>
      <c r="AA13" s="307"/>
      <c r="AB13" s="306"/>
      <c r="AC13" s="307"/>
      <c r="AD13" s="306"/>
    </row>
    <row r="14" spans="1:30">
      <c r="A14" s="304">
        <v>46048</v>
      </c>
      <c r="B14" s="195"/>
      <c r="C14" s="195"/>
      <c r="D14" s="307"/>
      <c r="E14" s="308"/>
      <c r="F14" s="304">
        <v>46064</v>
      </c>
      <c r="G14" s="195"/>
      <c r="H14" s="305"/>
      <c r="I14" s="306"/>
      <c r="J14" s="195"/>
      <c r="K14" s="307"/>
      <c r="L14" s="306"/>
      <c r="M14" s="307"/>
      <c r="N14" s="306"/>
      <c r="O14" s="307"/>
      <c r="P14" s="306"/>
      <c r="Q14" s="307"/>
      <c r="R14" s="306"/>
      <c r="S14" s="307"/>
      <c r="T14" s="306"/>
      <c r="U14" s="307"/>
      <c r="V14" s="306"/>
      <c r="W14" s="307"/>
      <c r="X14" s="306"/>
      <c r="Y14" s="307"/>
      <c r="Z14" s="306"/>
      <c r="AA14" s="307"/>
      <c r="AB14" s="306"/>
      <c r="AC14" s="307"/>
      <c r="AD14" s="306"/>
    </row>
    <row r="15" spans="1:30">
      <c r="A15" s="304">
        <v>46048</v>
      </c>
      <c r="B15" s="195"/>
      <c r="C15" s="195"/>
      <c r="D15" s="307"/>
      <c r="E15" s="308"/>
      <c r="F15" s="304">
        <v>46065</v>
      </c>
      <c r="G15" s="195"/>
      <c r="H15" s="307"/>
      <c r="I15" s="308"/>
      <c r="J15" s="195"/>
      <c r="K15" s="307"/>
      <c r="L15" s="306"/>
      <c r="M15" s="307"/>
      <c r="N15" s="306"/>
      <c r="O15" s="307"/>
      <c r="P15" s="306"/>
      <c r="Q15" s="307"/>
      <c r="R15" s="306"/>
      <c r="S15" s="307"/>
      <c r="T15" s="306"/>
      <c r="U15" s="307"/>
      <c r="V15" s="306"/>
      <c r="W15" s="307"/>
      <c r="X15" s="306"/>
      <c r="Y15" s="307"/>
      <c r="Z15" s="306"/>
      <c r="AA15" s="307"/>
      <c r="AB15" s="306"/>
      <c r="AC15" s="307"/>
      <c r="AD15" s="306"/>
    </row>
    <row r="16" spans="1:30">
      <c r="A16" s="304">
        <v>46050</v>
      </c>
      <c r="B16" s="195"/>
      <c r="C16" s="195"/>
      <c r="D16" s="307"/>
      <c r="E16" s="308"/>
      <c r="F16" s="304">
        <v>46065</v>
      </c>
      <c r="G16" s="195"/>
      <c r="H16" s="307"/>
      <c r="I16" s="308"/>
      <c r="J16" s="195"/>
      <c r="K16" s="307"/>
      <c r="L16" s="306"/>
      <c r="M16" s="307"/>
      <c r="N16" s="306"/>
      <c r="O16" s="307"/>
      <c r="P16" s="306"/>
      <c r="Q16" s="307"/>
      <c r="R16" s="306"/>
      <c r="S16" s="307"/>
      <c r="T16" s="306"/>
      <c r="U16" s="307"/>
      <c r="V16" s="306"/>
      <c r="W16" s="307"/>
      <c r="X16" s="306"/>
      <c r="Y16" s="307"/>
      <c r="Z16" s="306"/>
      <c r="AA16" s="307"/>
      <c r="AB16" s="306"/>
      <c r="AC16" s="307"/>
      <c r="AD16" s="306"/>
    </row>
    <row r="17" spans="1:30">
      <c r="A17" s="304">
        <v>46050</v>
      </c>
      <c r="B17" s="195"/>
      <c r="C17" s="195"/>
      <c r="D17" s="307"/>
      <c r="E17" s="308"/>
      <c r="F17" s="304">
        <v>46077</v>
      </c>
      <c r="G17" s="195"/>
      <c r="H17" s="307"/>
      <c r="I17" s="308"/>
      <c r="J17" s="195"/>
      <c r="K17" s="307"/>
      <c r="L17" s="306"/>
      <c r="M17" s="307"/>
      <c r="N17" s="306"/>
      <c r="O17" s="307"/>
      <c r="P17" s="306"/>
      <c r="Q17" s="307"/>
      <c r="R17" s="306"/>
      <c r="S17" s="307"/>
      <c r="T17" s="306"/>
      <c r="U17" s="307"/>
      <c r="V17" s="306"/>
      <c r="W17" s="307"/>
      <c r="X17" s="306"/>
      <c r="Y17" s="307"/>
      <c r="Z17" s="306"/>
      <c r="AA17" s="307"/>
      <c r="AB17" s="306"/>
      <c r="AC17" s="307"/>
      <c r="AD17" s="306"/>
    </row>
    <row r="18" spans="1:30">
      <c r="A18" s="304">
        <v>46034</v>
      </c>
      <c r="B18" s="195"/>
      <c r="C18" s="195"/>
      <c r="D18" s="307"/>
      <c r="E18" s="308"/>
      <c r="F18" s="304">
        <v>46071</v>
      </c>
      <c r="G18" s="195"/>
      <c r="H18" s="307"/>
      <c r="I18" s="308"/>
      <c r="J18" s="195"/>
      <c r="K18" s="307"/>
      <c r="L18" s="306"/>
      <c r="M18" s="307"/>
      <c r="N18" s="306"/>
      <c r="O18" s="307"/>
      <c r="P18" s="306"/>
      <c r="Q18" s="307"/>
      <c r="R18" s="306"/>
      <c r="S18" s="307"/>
      <c r="T18" s="306"/>
      <c r="U18" s="307"/>
      <c r="V18" s="306"/>
      <c r="W18" s="307"/>
      <c r="X18" s="306"/>
      <c r="Y18" s="307"/>
      <c r="Z18" s="306"/>
      <c r="AA18" s="307"/>
      <c r="AB18" s="306"/>
      <c r="AC18" s="307"/>
      <c r="AD18" s="306"/>
    </row>
    <row r="19" spans="1:30">
      <c r="A19" s="304">
        <v>46023</v>
      </c>
      <c r="B19" s="195"/>
      <c r="C19" s="195"/>
      <c r="D19" s="305"/>
      <c r="E19" s="306"/>
      <c r="F19" s="304">
        <v>46079</v>
      </c>
      <c r="G19" s="195"/>
      <c r="H19" s="307"/>
      <c r="I19" s="308"/>
      <c r="J19" s="195"/>
      <c r="K19" s="307"/>
      <c r="L19" s="306"/>
      <c r="M19" s="307"/>
      <c r="N19" s="306"/>
      <c r="O19" s="307"/>
      <c r="P19" s="306"/>
      <c r="Q19" s="307"/>
      <c r="R19" s="306"/>
      <c r="S19" s="307"/>
      <c r="T19" s="306"/>
      <c r="U19" s="307"/>
      <c r="V19" s="306"/>
      <c r="W19" s="307"/>
      <c r="X19" s="306"/>
      <c r="Y19" s="307"/>
      <c r="Z19" s="306"/>
      <c r="AA19" s="307"/>
      <c r="AB19" s="306"/>
      <c r="AC19" s="307"/>
      <c r="AD19" s="306"/>
    </row>
    <row r="20" spans="1:30">
      <c r="A20" s="304">
        <v>46037</v>
      </c>
      <c r="B20" s="195"/>
      <c r="C20" s="195"/>
      <c r="D20" s="307"/>
      <c r="E20" s="308"/>
      <c r="F20" s="195"/>
      <c r="G20" s="195"/>
      <c r="H20" s="307"/>
      <c r="I20" s="308"/>
      <c r="J20" s="195"/>
      <c r="K20" s="307"/>
      <c r="L20" s="306"/>
      <c r="M20" s="307"/>
      <c r="N20" s="306"/>
      <c r="O20" s="307"/>
      <c r="P20" s="306"/>
      <c r="Q20" s="307"/>
      <c r="R20" s="306"/>
      <c r="S20" s="307"/>
      <c r="T20" s="306"/>
      <c r="U20" s="307"/>
      <c r="V20" s="306"/>
      <c r="W20" s="307"/>
      <c r="X20" s="306"/>
      <c r="Y20" s="307"/>
      <c r="Z20" s="306"/>
      <c r="AA20" s="307"/>
      <c r="AB20" s="306"/>
      <c r="AC20" s="307"/>
      <c r="AD20" s="306"/>
    </row>
    <row r="21" spans="1:30">
      <c r="A21" s="304">
        <v>46052</v>
      </c>
      <c r="B21" s="195"/>
      <c r="C21" s="195"/>
      <c r="D21" s="307"/>
      <c r="E21" s="308"/>
      <c r="F21" s="195"/>
      <c r="G21" s="195"/>
      <c r="H21" s="307"/>
      <c r="I21" s="308"/>
      <c r="J21" s="195"/>
      <c r="K21" s="307"/>
      <c r="L21" s="306"/>
      <c r="M21" s="307"/>
      <c r="N21" s="306"/>
      <c r="O21" s="307"/>
      <c r="P21" s="306"/>
      <c r="Q21" s="307"/>
      <c r="R21" s="306"/>
      <c r="S21" s="307"/>
      <c r="T21" s="306"/>
      <c r="U21" s="307"/>
      <c r="V21" s="306"/>
      <c r="W21" s="307"/>
      <c r="X21" s="306"/>
      <c r="Y21" s="307"/>
      <c r="Z21" s="306"/>
      <c r="AA21" s="307"/>
      <c r="AB21" s="306"/>
      <c r="AC21" s="307"/>
      <c r="AD21" s="306"/>
    </row>
    <row r="22" spans="1:30">
      <c r="A22" s="304">
        <v>46052</v>
      </c>
      <c r="B22" s="195"/>
      <c r="C22" s="195"/>
      <c r="D22" s="307"/>
      <c r="E22" s="308"/>
      <c r="F22" s="195"/>
      <c r="G22" s="195"/>
      <c r="H22" s="307"/>
      <c r="I22" s="308"/>
      <c r="J22" s="195"/>
      <c r="K22" s="307"/>
      <c r="L22" s="306"/>
      <c r="M22" s="307"/>
      <c r="N22" s="306"/>
      <c r="O22" s="307"/>
      <c r="P22" s="306"/>
      <c r="Q22" s="307"/>
      <c r="R22" s="306"/>
      <c r="S22" s="307"/>
      <c r="T22" s="306"/>
      <c r="U22" s="307"/>
      <c r="V22" s="306"/>
      <c r="W22" s="307"/>
      <c r="X22" s="306"/>
      <c r="Y22" s="307"/>
      <c r="Z22" s="306"/>
      <c r="AA22" s="307"/>
      <c r="AB22" s="306"/>
      <c r="AC22" s="307"/>
      <c r="AD22" s="306"/>
    </row>
    <row r="23" spans="1:30">
      <c r="A23" s="195"/>
      <c r="B23" s="195"/>
      <c r="C23" s="195"/>
      <c r="D23" s="307"/>
      <c r="E23" s="306"/>
      <c r="F23" s="195"/>
      <c r="G23" s="195"/>
      <c r="H23" s="307"/>
      <c r="I23" s="306"/>
      <c r="J23" s="195"/>
      <c r="K23" s="307"/>
      <c r="L23" s="306"/>
      <c r="M23" s="307"/>
      <c r="N23" s="306"/>
      <c r="O23" s="307"/>
      <c r="P23" s="306"/>
      <c r="Q23" s="307"/>
      <c r="R23" s="306"/>
      <c r="S23" s="307"/>
      <c r="T23" s="306"/>
      <c r="U23" s="307"/>
      <c r="V23" s="306"/>
      <c r="W23" s="307"/>
      <c r="X23" s="306"/>
      <c r="Y23" s="307"/>
      <c r="Z23" s="306"/>
      <c r="AA23" s="307"/>
      <c r="AB23" s="306"/>
      <c r="AC23" s="307"/>
      <c r="AD23" s="306"/>
    </row>
  </sheetData>
  <mergeCells count="1"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CBD4-37B0-4A00-97FE-263320D6B0CA}">
  <dimension ref="A1:H108"/>
  <sheetViews>
    <sheetView topLeftCell="A4" workbookViewId="0">
      <selection activeCell="G3" sqref="G3"/>
    </sheetView>
  </sheetViews>
  <sheetFormatPr baseColWidth="10" defaultRowHeight="15"/>
  <cols>
    <col min="1" max="1" width="25.7109375" bestFit="1" customWidth="1"/>
    <col min="2" max="2" width="14.140625" bestFit="1" customWidth="1"/>
    <col min="3" max="3" width="14.42578125" bestFit="1" customWidth="1"/>
  </cols>
  <sheetData>
    <row r="1" spans="1:8" ht="17.25" customHeight="1">
      <c r="A1" s="241"/>
      <c r="B1" s="101"/>
      <c r="C1" s="94"/>
      <c r="D1" s="94"/>
      <c r="E1" s="94"/>
      <c r="F1" s="94"/>
      <c r="G1" s="94"/>
      <c r="H1" s="94"/>
    </row>
    <row r="2" spans="1:8" ht="18.75">
      <c r="A2" s="403" t="s">
        <v>219</v>
      </c>
      <c r="B2" s="403"/>
      <c r="C2" s="403"/>
      <c r="D2" s="403"/>
      <c r="E2" s="403"/>
      <c r="F2" s="403"/>
      <c r="G2" s="403"/>
      <c r="H2" s="94"/>
    </row>
    <row r="3" spans="1:8" ht="30">
      <c r="A3" s="102"/>
      <c r="B3" s="103" t="s">
        <v>220</v>
      </c>
      <c r="C3" s="104" t="s">
        <v>221</v>
      </c>
      <c r="D3" s="105" t="s">
        <v>222</v>
      </c>
      <c r="E3" s="105" t="s">
        <v>223</v>
      </c>
      <c r="F3" s="102" t="s">
        <v>224</v>
      </c>
      <c r="G3" s="106" t="s">
        <v>225</v>
      </c>
      <c r="H3" s="108"/>
    </row>
    <row r="4" spans="1:8">
      <c r="A4" s="109" t="s">
        <v>226</v>
      </c>
      <c r="B4" s="111"/>
      <c r="C4" s="112"/>
      <c r="D4" s="113"/>
      <c r="E4" s="114"/>
      <c r="F4" s="115"/>
      <c r="G4" s="116"/>
      <c r="H4" s="94"/>
    </row>
    <row r="5" spans="1:8">
      <c r="A5" s="116" t="s">
        <v>227</v>
      </c>
      <c r="B5" s="117"/>
      <c r="C5" s="118"/>
      <c r="D5" s="120"/>
      <c r="E5" s="94"/>
      <c r="F5" s="121"/>
      <c r="G5" s="122"/>
      <c r="H5" s="123"/>
    </row>
    <row r="6" spans="1:8">
      <c r="A6" s="116" t="s">
        <v>228</v>
      </c>
      <c r="B6" s="124"/>
      <c r="C6" s="125"/>
      <c r="D6" s="119"/>
      <c r="E6" s="126"/>
      <c r="F6" s="121"/>
      <c r="G6" s="122"/>
      <c r="H6" s="123"/>
    </row>
    <row r="7" spans="1:8">
      <c r="A7" s="116" t="s">
        <v>229</v>
      </c>
      <c r="B7" s="127"/>
      <c r="C7" s="128"/>
      <c r="D7" s="129"/>
      <c r="E7" s="126"/>
      <c r="F7" s="121"/>
      <c r="G7" s="122"/>
      <c r="H7" s="123"/>
    </row>
    <row r="8" spans="1:8">
      <c r="A8" s="116" t="s">
        <v>230</v>
      </c>
      <c r="B8" s="124"/>
      <c r="C8" s="129"/>
      <c r="D8" s="129"/>
      <c r="E8" s="126"/>
      <c r="F8" s="121"/>
      <c r="G8" s="122"/>
      <c r="H8" s="123"/>
    </row>
    <row r="9" spans="1:8">
      <c r="A9" s="116" t="s">
        <v>231</v>
      </c>
      <c r="B9" s="127"/>
      <c r="C9" s="130"/>
      <c r="D9" s="129"/>
      <c r="E9" s="126"/>
      <c r="F9" s="121"/>
      <c r="G9" s="131"/>
      <c r="H9" s="123"/>
    </row>
    <row r="10" spans="1:8">
      <c r="A10" s="116" t="s">
        <v>232</v>
      </c>
      <c r="B10" s="124"/>
      <c r="C10" s="132"/>
      <c r="D10" s="115"/>
      <c r="E10" s="126"/>
      <c r="F10" s="115"/>
      <c r="G10" s="122"/>
      <c r="H10" s="94"/>
    </row>
    <row r="11" spans="1:8">
      <c r="A11" s="116" t="s">
        <v>233</v>
      </c>
      <c r="B11" s="133"/>
      <c r="C11" s="101"/>
      <c r="D11" s="115"/>
      <c r="E11" s="115"/>
      <c r="F11" s="115"/>
      <c r="G11" s="122"/>
      <c r="H11" s="94"/>
    </row>
    <row r="12" spans="1:8">
      <c r="A12" s="116" t="s">
        <v>234</v>
      </c>
      <c r="B12" s="124"/>
      <c r="C12" s="132"/>
      <c r="D12" s="115"/>
      <c r="E12" s="115"/>
      <c r="F12" s="115"/>
      <c r="G12" s="122"/>
      <c r="H12" s="94"/>
    </row>
    <row r="13" spans="1:8">
      <c r="A13" s="116" t="s">
        <v>235</v>
      </c>
      <c r="B13" s="133"/>
      <c r="C13" s="132"/>
      <c r="D13" s="115"/>
      <c r="E13" s="115"/>
      <c r="F13" s="115"/>
      <c r="G13" s="122"/>
      <c r="H13" s="94"/>
    </row>
    <row r="14" spans="1:8">
      <c r="A14" s="115" t="s">
        <v>236</v>
      </c>
      <c r="B14" s="134"/>
      <c r="C14" s="115"/>
      <c r="D14" s="115"/>
      <c r="E14" s="115"/>
      <c r="F14" s="115"/>
      <c r="G14" s="122"/>
      <c r="H14" s="94"/>
    </row>
    <row r="15" spans="1:8">
      <c r="A15" s="116" t="s">
        <v>237</v>
      </c>
      <c r="B15" s="133"/>
      <c r="C15" s="132"/>
      <c r="D15" s="115"/>
      <c r="E15" s="115"/>
      <c r="F15" s="115"/>
      <c r="G15" s="122"/>
      <c r="H15" s="94"/>
    </row>
    <row r="16" spans="1:8">
      <c r="A16" s="116" t="s">
        <v>238</v>
      </c>
      <c r="B16" s="124"/>
      <c r="C16" s="132"/>
      <c r="D16" s="115"/>
      <c r="E16" s="115"/>
      <c r="F16" s="115"/>
      <c r="G16" s="122"/>
      <c r="H16" s="94"/>
    </row>
    <row r="17" spans="1:8">
      <c r="A17" s="116" t="s">
        <v>103</v>
      </c>
      <c r="B17" s="135"/>
      <c r="C17" s="132"/>
      <c r="D17" s="115"/>
      <c r="E17" s="121"/>
      <c r="F17" s="122"/>
      <c r="G17" s="122"/>
      <c r="H17" s="94"/>
    </row>
    <row r="18" spans="1:8">
      <c r="A18" s="116" t="s">
        <v>239</v>
      </c>
      <c r="B18" s="136"/>
      <c r="C18" s="137"/>
      <c r="D18" s="115"/>
      <c r="E18" s="115"/>
      <c r="F18" s="115"/>
      <c r="G18" s="122"/>
      <c r="H18" s="94"/>
    </row>
    <row r="19" spans="1:8">
      <c r="A19" s="138" t="s">
        <v>240</v>
      </c>
      <c r="B19" s="139"/>
      <c r="C19" s="137"/>
      <c r="D19" s="140"/>
      <c r="E19" s="141"/>
      <c r="F19" s="115"/>
      <c r="G19" s="122"/>
      <c r="H19" s="94"/>
    </row>
    <row r="20" spans="1:8">
      <c r="A20" s="142" t="s">
        <v>241</v>
      </c>
      <c r="B20" s="143">
        <v>9784521</v>
      </c>
      <c r="C20" s="144">
        <v>624014</v>
      </c>
      <c r="D20" s="144">
        <v>0</v>
      </c>
      <c r="E20" s="145"/>
      <c r="F20" s="145"/>
      <c r="G20" s="146" t="s">
        <v>41</v>
      </c>
      <c r="H20" s="94"/>
    </row>
    <row r="21" spans="1:8">
      <c r="A21" s="142" t="s">
        <v>242</v>
      </c>
      <c r="B21" s="147"/>
      <c r="C21" s="142" t="s">
        <v>243</v>
      </c>
      <c r="D21" s="142" t="s">
        <v>244</v>
      </c>
      <c r="E21" s="142" t="s">
        <v>245</v>
      </c>
      <c r="F21" s="142" t="s">
        <v>246</v>
      </c>
      <c r="G21" s="109" t="s">
        <v>247</v>
      </c>
      <c r="H21" s="107"/>
    </row>
    <row r="22" spans="1:8">
      <c r="A22" s="115" t="s">
        <v>248</v>
      </c>
      <c r="B22" s="148"/>
      <c r="C22" s="149"/>
      <c r="D22" s="150"/>
      <c r="E22" s="151" t="s">
        <v>249</v>
      </c>
      <c r="F22" s="151" t="s">
        <v>250</v>
      </c>
      <c r="G22" s="116"/>
      <c r="H22" s="94"/>
    </row>
    <row r="23" spans="1:8">
      <c r="A23" s="116" t="s">
        <v>251</v>
      </c>
      <c r="B23" s="152"/>
      <c r="C23" s="111"/>
      <c r="D23" s="153"/>
      <c r="E23" s="154"/>
      <c r="F23" s="150" t="s">
        <v>250</v>
      </c>
      <c r="G23" s="155"/>
      <c r="H23" s="94"/>
    </row>
    <row r="24" spans="1:8">
      <c r="A24" s="116" t="s">
        <v>99</v>
      </c>
      <c r="B24" s="133"/>
      <c r="C24" s="125"/>
      <c r="D24" s="156"/>
      <c r="E24" s="157" t="s">
        <v>249</v>
      </c>
      <c r="F24" s="156" t="s">
        <v>250</v>
      </c>
      <c r="G24" s="158"/>
      <c r="H24" s="94"/>
    </row>
    <row r="25" spans="1:8">
      <c r="A25" s="115" t="s">
        <v>252</v>
      </c>
      <c r="B25" s="159"/>
      <c r="C25" s="160"/>
      <c r="D25" s="161"/>
      <c r="E25" s="162" t="s">
        <v>249</v>
      </c>
      <c r="F25" s="162" t="s">
        <v>250</v>
      </c>
      <c r="G25" s="163"/>
      <c r="H25" s="94"/>
    </row>
    <row r="26" spans="1:8">
      <c r="A26" s="115" t="s">
        <v>253</v>
      </c>
      <c r="B26" s="164"/>
      <c r="C26" s="165"/>
      <c r="D26" s="153"/>
      <c r="E26" s="153" t="s">
        <v>249</v>
      </c>
      <c r="F26" s="153" t="s">
        <v>250</v>
      </c>
      <c r="G26" s="163"/>
      <c r="H26" s="94"/>
    </row>
    <row r="27" spans="1:8">
      <c r="A27" s="115" t="s">
        <v>254</v>
      </c>
      <c r="B27" s="166"/>
      <c r="C27" s="167"/>
      <c r="D27" s="165"/>
      <c r="E27" s="153" t="s">
        <v>249</v>
      </c>
      <c r="F27" s="165" t="s">
        <v>250</v>
      </c>
      <c r="G27" s="168"/>
      <c r="H27" s="94"/>
    </row>
    <row r="28" spans="1:8">
      <c r="A28" s="115" t="s">
        <v>255</v>
      </c>
      <c r="B28" s="166"/>
      <c r="C28" s="165"/>
      <c r="D28" s="165"/>
      <c r="E28" s="153"/>
      <c r="F28" s="165" t="s">
        <v>250</v>
      </c>
      <c r="G28" s="169"/>
      <c r="H28" s="94"/>
    </row>
    <row r="29" spans="1:8">
      <c r="A29" s="142" t="s">
        <v>241</v>
      </c>
      <c r="B29" s="170"/>
      <c r="C29" s="171">
        <v>0</v>
      </c>
      <c r="D29" s="172"/>
      <c r="E29" s="173"/>
      <c r="F29" s="172"/>
      <c r="G29" s="174"/>
      <c r="H29" s="107"/>
    </row>
    <row r="30" spans="1:8">
      <c r="A30" s="102" t="s">
        <v>256</v>
      </c>
      <c r="B30" s="175" t="s">
        <v>244</v>
      </c>
      <c r="C30" s="176" t="s">
        <v>245</v>
      </c>
      <c r="D30" s="176" t="s">
        <v>246</v>
      </c>
      <c r="E30" s="176" t="s">
        <v>247</v>
      </c>
      <c r="F30" s="177"/>
      <c r="G30" s="178"/>
      <c r="H30" s="94"/>
    </row>
    <row r="31" spans="1:8">
      <c r="A31" s="115"/>
      <c r="B31" s="179"/>
      <c r="C31" s="180"/>
      <c r="D31" s="125"/>
      <c r="E31" s="165"/>
      <c r="F31" s="165"/>
      <c r="G31" s="181"/>
      <c r="H31" s="182"/>
    </row>
    <row r="32" spans="1:8">
      <c r="A32" s="142" t="s">
        <v>241</v>
      </c>
      <c r="B32" s="183"/>
      <c r="C32" s="165"/>
      <c r="D32" s="165"/>
      <c r="E32" s="165"/>
      <c r="F32" s="165"/>
      <c r="G32" s="181"/>
      <c r="H32" s="182"/>
    </row>
    <row r="33" spans="1:8">
      <c r="A33" s="142" t="s">
        <v>257</v>
      </c>
      <c r="B33" s="184"/>
      <c r="C33" s="185"/>
      <c r="D33" s="185"/>
      <c r="E33" s="185"/>
      <c r="F33" s="185"/>
      <c r="G33" s="102"/>
      <c r="H33" s="182"/>
    </row>
    <row r="34" spans="1:8">
      <c r="A34" s="115"/>
      <c r="B34" s="186"/>
      <c r="C34" s="115"/>
      <c r="D34" s="115"/>
      <c r="E34" s="115"/>
      <c r="F34" s="115"/>
      <c r="G34" s="115"/>
      <c r="H34" s="182"/>
    </row>
    <row r="35" spans="1:8">
      <c r="A35" s="115"/>
      <c r="B35" s="186"/>
      <c r="C35" s="115"/>
      <c r="D35" s="115"/>
      <c r="E35" s="115"/>
      <c r="F35" s="115"/>
      <c r="G35" s="115"/>
      <c r="H35" s="94"/>
    </row>
    <row r="36" spans="1:8">
      <c r="A36" s="115"/>
      <c r="B36" s="186"/>
      <c r="C36" s="115"/>
      <c r="D36" s="115"/>
      <c r="E36" s="115"/>
      <c r="F36" s="115"/>
      <c r="G36" s="115"/>
      <c r="H36" s="94"/>
    </row>
    <row r="37" spans="1:8">
      <c r="A37" s="142" t="s">
        <v>241</v>
      </c>
      <c r="B37" s="187">
        <v>0</v>
      </c>
      <c r="C37" s="115"/>
      <c r="D37" s="115"/>
      <c r="E37" s="115"/>
      <c r="F37" s="115"/>
      <c r="G37" s="115"/>
      <c r="H37" s="94"/>
    </row>
    <row r="38" spans="1:8">
      <c r="A38" s="188" t="s">
        <v>258</v>
      </c>
      <c r="B38" s="103" t="s">
        <v>259</v>
      </c>
      <c r="C38" s="188" t="s">
        <v>260</v>
      </c>
      <c r="D38" s="188" t="s">
        <v>244</v>
      </c>
      <c r="E38" s="188" t="s">
        <v>245</v>
      </c>
      <c r="F38" s="188" t="s">
        <v>246</v>
      </c>
      <c r="G38" s="189" t="s">
        <v>247</v>
      </c>
      <c r="H38" s="107"/>
    </row>
    <row r="39" spans="1:8">
      <c r="A39" s="239" t="s">
        <v>305</v>
      </c>
      <c r="B39" s="242">
        <v>100</v>
      </c>
      <c r="C39" s="239"/>
      <c r="D39" s="239"/>
      <c r="E39" s="239"/>
      <c r="F39" s="239"/>
      <c r="G39" s="239"/>
      <c r="H39" s="107"/>
    </row>
    <row r="40" spans="1:8">
      <c r="A40" s="125" t="s">
        <v>261</v>
      </c>
      <c r="B40" s="165">
        <v>1</v>
      </c>
      <c r="C40" s="243">
        <f>$B$39*B40</f>
        <v>100</v>
      </c>
      <c r="D40" s="244"/>
      <c r="E40" s="191"/>
      <c r="F40" s="192"/>
      <c r="G40" s="193"/>
      <c r="H40" s="94"/>
    </row>
    <row r="41" spans="1:8">
      <c r="A41" s="125" t="s">
        <v>262</v>
      </c>
      <c r="B41" s="165">
        <v>2</v>
      </c>
      <c r="C41" s="243">
        <f t="shared" ref="C41:C48" si="0">$B$39*B41</f>
        <v>200</v>
      </c>
      <c r="D41" s="245"/>
      <c r="E41" s="162"/>
      <c r="F41" s="162"/>
      <c r="G41" s="193"/>
      <c r="H41" s="182"/>
    </row>
    <row r="42" spans="1:8">
      <c r="A42" s="125" t="s">
        <v>263</v>
      </c>
      <c r="B42" s="165">
        <v>3</v>
      </c>
      <c r="C42" s="243">
        <f t="shared" si="0"/>
        <v>300</v>
      </c>
      <c r="D42" s="245"/>
      <c r="E42" s="162"/>
      <c r="F42" s="162"/>
      <c r="G42" s="193"/>
      <c r="H42" s="182"/>
    </row>
    <row r="43" spans="1:8">
      <c r="A43" s="125" t="s">
        <v>264</v>
      </c>
      <c r="B43" s="165">
        <v>4</v>
      </c>
      <c r="C43" s="243">
        <f t="shared" si="0"/>
        <v>400</v>
      </c>
      <c r="D43" s="245"/>
      <c r="E43" s="162"/>
      <c r="F43" s="162"/>
      <c r="G43" s="193"/>
      <c r="H43" s="182"/>
    </row>
    <row r="44" spans="1:8">
      <c r="A44" s="125" t="s">
        <v>265</v>
      </c>
      <c r="B44" s="165">
        <v>5</v>
      </c>
      <c r="C44" s="243">
        <f t="shared" si="0"/>
        <v>500</v>
      </c>
      <c r="D44" s="245"/>
      <c r="E44" s="162"/>
      <c r="F44" s="162"/>
      <c r="G44" s="193"/>
      <c r="H44" s="182"/>
    </row>
    <row r="45" spans="1:8">
      <c r="A45" s="125" t="s">
        <v>266</v>
      </c>
      <c r="B45" s="165">
        <v>6</v>
      </c>
      <c r="C45" s="243">
        <f t="shared" si="0"/>
        <v>600</v>
      </c>
      <c r="D45" s="245"/>
      <c r="E45" s="162"/>
      <c r="F45" s="162"/>
      <c r="G45" s="193"/>
      <c r="H45" s="182"/>
    </row>
    <row r="46" spans="1:8">
      <c r="A46" s="125" t="s">
        <v>267</v>
      </c>
      <c r="B46" s="165">
        <v>7</v>
      </c>
      <c r="C46" s="243">
        <f t="shared" si="0"/>
        <v>700</v>
      </c>
      <c r="D46" s="245"/>
      <c r="E46" s="162"/>
      <c r="F46" s="162"/>
      <c r="G46" s="193"/>
      <c r="H46" s="182"/>
    </row>
    <row r="47" spans="1:8">
      <c r="A47" s="125" t="s">
        <v>268</v>
      </c>
      <c r="B47" s="165">
        <v>8</v>
      </c>
      <c r="C47" s="243">
        <f t="shared" si="0"/>
        <v>800</v>
      </c>
      <c r="D47" s="245"/>
      <c r="E47" s="194"/>
      <c r="F47" s="153"/>
      <c r="G47" s="193"/>
      <c r="H47" s="182"/>
    </row>
    <row r="48" spans="1:8">
      <c r="A48" s="125"/>
      <c r="B48" s="165">
        <v>9</v>
      </c>
      <c r="C48" s="243">
        <f t="shared" si="0"/>
        <v>900</v>
      </c>
      <c r="D48" s="194"/>
      <c r="E48" s="194"/>
      <c r="F48" s="153"/>
      <c r="G48" s="193"/>
      <c r="H48" s="182"/>
    </row>
    <row r="49" spans="1:8">
      <c r="A49" s="125" t="s">
        <v>263</v>
      </c>
      <c r="B49" s="165"/>
      <c r="C49" s="190"/>
      <c r="D49" s="194"/>
      <c r="E49" s="194"/>
      <c r="F49" s="153"/>
      <c r="G49" s="193"/>
      <c r="H49" s="182"/>
    </row>
    <row r="50" spans="1:8">
      <c r="A50" s="125" t="s">
        <v>264</v>
      </c>
      <c r="B50" s="165"/>
      <c r="C50" s="190"/>
      <c r="D50" s="194"/>
      <c r="E50" s="194"/>
      <c r="F50" s="153"/>
      <c r="G50" s="193"/>
      <c r="H50" s="182"/>
    </row>
    <row r="51" spans="1:8">
      <c r="A51" s="125" t="s">
        <v>269</v>
      </c>
      <c r="B51" s="165"/>
      <c r="C51" s="190"/>
      <c r="D51" s="194"/>
      <c r="E51" s="194"/>
      <c r="F51" s="153"/>
      <c r="G51" s="193"/>
      <c r="H51" s="182"/>
    </row>
    <row r="52" spans="1:8">
      <c r="A52" s="125" t="s">
        <v>270</v>
      </c>
      <c r="B52" s="165"/>
      <c r="C52" s="190"/>
      <c r="D52" s="194"/>
      <c r="E52" s="194"/>
      <c r="F52" s="153"/>
      <c r="G52" s="193"/>
      <c r="H52" s="182"/>
    </row>
    <row r="53" spans="1:8">
      <c r="A53" s="125" t="s">
        <v>271</v>
      </c>
      <c r="B53" s="165"/>
      <c r="C53" s="190"/>
      <c r="D53" s="194"/>
      <c r="E53" s="194"/>
      <c r="F53" s="153"/>
      <c r="G53" s="193"/>
      <c r="H53" s="182"/>
    </row>
    <row r="54" spans="1:8">
      <c r="A54" s="125" t="s">
        <v>272</v>
      </c>
      <c r="B54" s="165"/>
      <c r="C54" s="190"/>
      <c r="D54" s="194"/>
      <c r="E54" s="194"/>
      <c r="F54" s="153"/>
      <c r="G54" s="193"/>
      <c r="H54" s="182"/>
    </row>
    <row r="55" spans="1:8">
      <c r="A55" s="125" t="s">
        <v>273</v>
      </c>
      <c r="B55" s="165"/>
      <c r="C55" s="190"/>
      <c r="D55" s="194"/>
      <c r="E55" s="194"/>
      <c r="F55" s="153"/>
      <c r="G55" s="193"/>
      <c r="H55" s="182"/>
    </row>
    <row r="56" spans="1:8">
      <c r="A56" s="125" t="s">
        <v>274</v>
      </c>
      <c r="B56" s="165"/>
      <c r="C56" s="190"/>
      <c r="D56" s="194"/>
      <c r="E56" s="194"/>
      <c r="F56" s="153"/>
      <c r="G56" s="193"/>
      <c r="H56" s="182"/>
    </row>
    <row r="57" spans="1:8">
      <c r="A57" s="196" t="s">
        <v>275</v>
      </c>
      <c r="B57" s="111"/>
      <c r="C57" s="165"/>
      <c r="D57" s="165"/>
      <c r="E57" s="165"/>
      <c r="F57" s="165"/>
      <c r="G57" s="197"/>
      <c r="H57" s="182"/>
    </row>
    <row r="58" spans="1:8">
      <c r="A58" s="165" t="s">
        <v>276</v>
      </c>
      <c r="B58" s="165"/>
      <c r="C58" s="198"/>
      <c r="D58" s="199"/>
      <c r="E58" s="199"/>
      <c r="F58" s="125"/>
      <c r="G58" s="197"/>
      <c r="H58" s="182"/>
    </row>
    <row r="59" spans="1:8">
      <c r="A59" s="125" t="s">
        <v>277</v>
      </c>
      <c r="B59" s="165" t="s">
        <v>278</v>
      </c>
      <c r="C59" s="200">
        <v>168000</v>
      </c>
      <c r="D59" s="167"/>
      <c r="E59" s="167"/>
      <c r="F59" s="125"/>
      <c r="G59" s="197"/>
      <c r="H59" s="182"/>
    </row>
    <row r="60" spans="1:8">
      <c r="A60" s="125" t="s">
        <v>279</v>
      </c>
      <c r="B60" s="165"/>
      <c r="C60" s="198"/>
      <c r="D60" s="199"/>
      <c r="E60" s="199"/>
      <c r="F60" s="125"/>
      <c r="G60" s="197"/>
      <c r="H60" s="182"/>
    </row>
    <row r="61" spans="1:8">
      <c r="A61" s="28" t="s">
        <v>280</v>
      </c>
      <c r="B61" s="111"/>
      <c r="C61" s="201"/>
      <c r="D61" s="165"/>
      <c r="E61" s="165"/>
      <c r="F61" s="165"/>
      <c r="G61" s="197"/>
      <c r="H61" s="182"/>
    </row>
    <row r="62" spans="1:8">
      <c r="A62" s="202" t="s">
        <v>241</v>
      </c>
      <c r="B62" s="203">
        <v>36</v>
      </c>
      <c r="C62" s="204">
        <v>2328500</v>
      </c>
      <c r="D62" s="205"/>
      <c r="E62" s="205"/>
      <c r="F62" s="205"/>
      <c r="G62" s="206"/>
      <c r="H62" s="207"/>
    </row>
    <row r="63" spans="1:8">
      <c r="A63" s="188" t="s">
        <v>281</v>
      </c>
      <c r="B63" s="142" t="s">
        <v>260</v>
      </c>
      <c r="C63" s="188" t="s">
        <v>244</v>
      </c>
      <c r="D63" s="142" t="s">
        <v>245</v>
      </c>
      <c r="E63" s="142" t="s">
        <v>246</v>
      </c>
      <c r="F63" s="142" t="s">
        <v>247</v>
      </c>
      <c r="G63" s="142"/>
      <c r="H63" s="182"/>
    </row>
    <row r="64" spans="1:8">
      <c r="A64" s="165"/>
      <c r="B64" s="208"/>
      <c r="C64" s="125"/>
      <c r="D64" s="132"/>
      <c r="E64" s="140"/>
      <c r="F64" s="140"/>
      <c r="G64" s="115"/>
      <c r="H64" s="182"/>
    </row>
    <row r="65" spans="1:8">
      <c r="A65" s="165"/>
      <c r="B65" s="209"/>
      <c r="C65" s="125"/>
      <c r="D65" s="132"/>
      <c r="E65" s="140"/>
      <c r="F65" s="140"/>
      <c r="G65" s="115"/>
      <c r="H65" s="182"/>
    </row>
    <row r="66" spans="1:8">
      <c r="A66" s="165"/>
      <c r="B66" s="208"/>
      <c r="C66" s="125"/>
      <c r="D66" s="132"/>
      <c r="E66" s="115"/>
      <c r="F66" s="115"/>
      <c r="G66" s="115"/>
      <c r="H66" s="182"/>
    </row>
    <row r="67" spans="1:8">
      <c r="A67" s="165"/>
      <c r="B67" s="209"/>
      <c r="C67" s="165"/>
      <c r="D67" s="181"/>
      <c r="E67" s="115"/>
      <c r="F67" s="115"/>
      <c r="G67" s="115"/>
      <c r="H67" s="182"/>
    </row>
    <row r="68" spans="1:8">
      <c r="A68" s="165"/>
      <c r="B68" s="209"/>
      <c r="C68" s="210"/>
      <c r="D68" s="181"/>
      <c r="E68" s="115"/>
      <c r="F68" s="115"/>
      <c r="G68" s="115"/>
      <c r="H68" s="182"/>
    </row>
    <row r="69" spans="1:8">
      <c r="A69" s="176" t="s">
        <v>241</v>
      </c>
      <c r="B69" s="211" t="s">
        <v>41</v>
      </c>
      <c r="C69" s="212"/>
      <c r="D69" s="115"/>
      <c r="E69" s="115"/>
      <c r="F69" s="115"/>
      <c r="G69" s="115"/>
      <c r="H69" s="182"/>
    </row>
    <row r="70" spans="1:8">
      <c r="A70" s="213" t="s">
        <v>282</v>
      </c>
      <c r="B70" s="142" t="s">
        <v>260</v>
      </c>
      <c r="C70" s="142" t="s">
        <v>244</v>
      </c>
      <c r="D70" s="142" t="s">
        <v>245</v>
      </c>
      <c r="E70" s="142" t="s">
        <v>246</v>
      </c>
      <c r="F70" s="142" t="s">
        <v>247</v>
      </c>
      <c r="G70" s="102"/>
      <c r="H70" s="182"/>
    </row>
    <row r="71" spans="1:8">
      <c r="A71" s="116" t="s">
        <v>283</v>
      </c>
      <c r="B71" s="214"/>
      <c r="C71" s="132"/>
      <c r="D71" s="215"/>
      <c r="E71" s="216"/>
      <c r="F71" s="115"/>
      <c r="G71" s="115"/>
      <c r="H71" s="182"/>
    </row>
    <row r="72" spans="1:8">
      <c r="A72" s="116" t="s">
        <v>284</v>
      </c>
      <c r="B72" s="217"/>
      <c r="C72" s="132"/>
      <c r="D72" s="215"/>
      <c r="E72" s="215"/>
      <c r="F72" s="115"/>
      <c r="G72" s="115"/>
      <c r="H72" s="182"/>
    </row>
    <row r="73" spans="1:8">
      <c r="A73" s="142" t="s">
        <v>241</v>
      </c>
      <c r="B73" s="204">
        <v>0</v>
      </c>
      <c r="C73" s="115"/>
      <c r="D73" s="115"/>
      <c r="E73" s="115"/>
      <c r="F73" s="115"/>
      <c r="G73" s="115"/>
      <c r="H73" s="182"/>
    </row>
    <row r="74" spans="1:8">
      <c r="A74" s="145"/>
      <c r="B74" s="218"/>
      <c r="C74" s="115"/>
      <c r="D74" s="115"/>
      <c r="E74" s="115"/>
      <c r="F74" s="115"/>
      <c r="G74" s="115"/>
      <c r="H74" s="182"/>
    </row>
    <row r="75" spans="1:8">
      <c r="A75" s="219" t="s">
        <v>285</v>
      </c>
      <c r="B75" s="142" t="s">
        <v>260</v>
      </c>
      <c r="C75" s="142" t="s">
        <v>244</v>
      </c>
      <c r="D75" s="142" t="s">
        <v>245</v>
      </c>
      <c r="E75" s="142" t="s">
        <v>246</v>
      </c>
      <c r="F75" s="142" t="s">
        <v>247</v>
      </c>
      <c r="G75" s="102"/>
      <c r="H75" s="182"/>
    </row>
    <row r="76" spans="1:8">
      <c r="A76" s="115"/>
      <c r="B76" s="186"/>
      <c r="C76" s="140"/>
      <c r="D76" s="140"/>
      <c r="E76" s="115"/>
      <c r="F76" s="115"/>
      <c r="G76" s="115"/>
      <c r="H76" s="182"/>
    </row>
    <row r="77" spans="1:8">
      <c r="A77" s="115"/>
      <c r="B77" s="220"/>
      <c r="C77" s="115"/>
      <c r="D77" s="115"/>
      <c r="E77" s="115"/>
      <c r="F77" s="115"/>
      <c r="G77" s="115"/>
      <c r="H77" s="182"/>
    </row>
    <row r="78" spans="1:8">
      <c r="A78" s="142" t="s">
        <v>241</v>
      </c>
      <c r="B78" s="218"/>
      <c r="C78" s="145"/>
      <c r="D78" s="145"/>
      <c r="E78" s="145"/>
      <c r="F78" s="145"/>
      <c r="G78" s="145"/>
      <c r="H78" s="182"/>
    </row>
    <row r="79" spans="1:8">
      <c r="A79" s="188" t="s">
        <v>286</v>
      </c>
      <c r="B79" s="188" t="s">
        <v>287</v>
      </c>
      <c r="C79" s="188"/>
      <c r="D79" s="188"/>
      <c r="E79" s="188"/>
      <c r="F79" s="188"/>
      <c r="G79" s="188"/>
      <c r="H79" s="182"/>
    </row>
    <row r="80" spans="1:8">
      <c r="A80" s="172"/>
      <c r="B80" s="111"/>
      <c r="C80" s="165"/>
      <c r="D80" s="165"/>
      <c r="E80" s="165"/>
      <c r="F80" s="165"/>
      <c r="G80" s="165"/>
      <c r="H80" s="182"/>
    </row>
    <row r="81" spans="1:8">
      <c r="A81" s="221" t="s">
        <v>193</v>
      </c>
      <c r="B81" s="222"/>
      <c r="C81" s="221" t="s">
        <v>288</v>
      </c>
      <c r="D81" s="221" t="s">
        <v>289</v>
      </c>
      <c r="E81" s="221"/>
      <c r="F81" s="221"/>
      <c r="G81" s="223"/>
      <c r="H81" s="182"/>
    </row>
    <row r="82" spans="1:8">
      <c r="A82" s="221" t="s">
        <v>290</v>
      </c>
      <c r="B82" s="224"/>
      <c r="C82" s="125"/>
      <c r="D82" s="125"/>
      <c r="E82" s="125"/>
      <c r="F82" s="125"/>
      <c r="G82" s="125"/>
      <c r="H82" s="182"/>
    </row>
    <row r="83" spans="1:8">
      <c r="A83" s="221" t="s">
        <v>194</v>
      </c>
      <c r="B83" s="225"/>
      <c r="C83" s="125"/>
      <c r="D83" s="125"/>
      <c r="E83" s="125"/>
      <c r="F83" s="125"/>
      <c r="G83" s="125"/>
      <c r="H83" s="182"/>
    </row>
    <row r="84" spans="1:8">
      <c r="A84" s="221" t="s">
        <v>291</v>
      </c>
      <c r="B84" s="225"/>
      <c r="C84" s="125"/>
      <c r="D84" s="125"/>
      <c r="E84" s="125"/>
      <c r="F84" s="125"/>
      <c r="G84" s="125"/>
      <c r="H84" s="182"/>
    </row>
    <row r="85" spans="1:8">
      <c r="A85" s="221" t="s">
        <v>197</v>
      </c>
      <c r="B85" s="224"/>
      <c r="C85" s="125"/>
      <c r="D85" s="125"/>
      <c r="E85" s="125"/>
      <c r="F85" s="125"/>
      <c r="G85" s="125"/>
      <c r="H85" s="182"/>
    </row>
    <row r="86" spans="1:8">
      <c r="A86" s="226" t="s">
        <v>292</v>
      </c>
      <c r="B86" s="224"/>
      <c r="C86" s="125"/>
      <c r="D86" s="125"/>
      <c r="E86" s="125"/>
      <c r="F86" s="125"/>
      <c r="G86" s="125"/>
      <c r="H86" s="182"/>
    </row>
    <row r="87" spans="1:8">
      <c r="A87" s="227" t="s">
        <v>293</v>
      </c>
      <c r="B87" s="228"/>
      <c r="C87" s="125"/>
      <c r="D87" s="125"/>
      <c r="E87" s="125"/>
      <c r="F87" s="125"/>
      <c r="G87" s="125"/>
      <c r="H87" s="182"/>
    </row>
    <row r="88" spans="1:8">
      <c r="A88" s="172" t="s">
        <v>294</v>
      </c>
      <c r="B88" s="111"/>
      <c r="C88" s="153"/>
      <c r="D88" s="165"/>
      <c r="E88" s="165"/>
      <c r="F88" s="165"/>
      <c r="G88" s="165"/>
      <c r="H88" s="182"/>
    </row>
    <row r="89" spans="1:8">
      <c r="A89" s="229"/>
      <c r="B89" s="225"/>
      <c r="C89" s="125"/>
      <c r="D89" s="125"/>
      <c r="E89" s="125"/>
      <c r="F89" s="125"/>
      <c r="G89" s="125"/>
      <c r="H89" s="182"/>
    </row>
    <row r="90" spans="1:8">
      <c r="A90" s="136" t="s">
        <v>129</v>
      </c>
      <c r="B90" s="230" t="s">
        <v>295</v>
      </c>
      <c r="C90" s="136" t="s">
        <v>245</v>
      </c>
      <c r="D90" s="136" t="s">
        <v>296</v>
      </c>
      <c r="E90" s="136" t="s">
        <v>297</v>
      </c>
      <c r="F90" s="136"/>
      <c r="G90" s="136"/>
      <c r="H90" s="182"/>
    </row>
    <row r="91" spans="1:8">
      <c r="A91" s="136" t="s">
        <v>298</v>
      </c>
      <c r="B91" s="152"/>
      <c r="C91" s="165"/>
      <c r="D91" s="165"/>
      <c r="E91" s="165"/>
      <c r="F91" s="165"/>
      <c r="G91" s="165"/>
      <c r="H91" s="182"/>
    </row>
    <row r="92" spans="1:8">
      <c r="A92" s="136" t="s">
        <v>131</v>
      </c>
      <c r="B92" s="225"/>
      <c r="C92" s="125"/>
      <c r="D92" s="125"/>
      <c r="E92" s="125"/>
      <c r="F92" s="125"/>
      <c r="G92" s="125"/>
      <c r="H92" s="182"/>
    </row>
    <row r="93" spans="1:8">
      <c r="A93" s="136" t="s">
        <v>299</v>
      </c>
      <c r="B93" s="225"/>
      <c r="C93" s="125"/>
      <c r="D93" s="125"/>
      <c r="E93" s="125"/>
      <c r="F93" s="125"/>
      <c r="G93" s="125"/>
      <c r="H93" s="182"/>
    </row>
    <row r="94" spans="1:8">
      <c r="A94" s="136" t="s">
        <v>133</v>
      </c>
      <c r="B94" s="231"/>
      <c r="C94" s="125"/>
      <c r="D94" s="125"/>
      <c r="E94" s="125"/>
      <c r="F94" s="125"/>
      <c r="G94" s="125"/>
      <c r="H94" s="182"/>
    </row>
    <row r="95" spans="1:8">
      <c r="A95" s="136" t="s">
        <v>134</v>
      </c>
      <c r="B95" s="225"/>
      <c r="C95" s="125"/>
      <c r="D95" s="125"/>
      <c r="E95" s="125"/>
      <c r="F95" s="125"/>
      <c r="G95" s="125"/>
      <c r="H95" s="182"/>
    </row>
    <row r="96" spans="1:8">
      <c r="A96" s="136" t="s">
        <v>135</v>
      </c>
      <c r="B96" s="224"/>
      <c r="C96" s="125"/>
      <c r="D96" s="125"/>
      <c r="E96" s="125"/>
      <c r="F96" s="125"/>
      <c r="G96" s="125"/>
      <c r="H96" s="182"/>
    </row>
    <row r="97" spans="1:8">
      <c r="A97" s="232" t="s">
        <v>300</v>
      </c>
      <c r="B97" s="233" t="s">
        <v>295</v>
      </c>
      <c r="C97" s="234" t="s">
        <v>245</v>
      </c>
      <c r="D97" s="232" t="s">
        <v>296</v>
      </c>
      <c r="E97" s="232" t="s">
        <v>297</v>
      </c>
      <c r="F97" s="232"/>
      <c r="G97" s="232"/>
      <c r="H97" s="182"/>
    </row>
    <row r="98" spans="1:8">
      <c r="A98" s="232" t="s">
        <v>301</v>
      </c>
      <c r="B98" s="111"/>
      <c r="C98" s="153"/>
      <c r="D98" s="165"/>
      <c r="E98" s="165"/>
      <c r="F98" s="165"/>
      <c r="G98" s="165"/>
      <c r="H98" s="182"/>
    </row>
    <row r="99" spans="1:8">
      <c r="A99" s="232" t="s">
        <v>302</v>
      </c>
      <c r="B99" s="235"/>
      <c r="C99" s="94"/>
      <c r="D99" s="165"/>
      <c r="E99" s="165"/>
      <c r="F99" s="165"/>
      <c r="G99" s="165"/>
      <c r="H99" s="182"/>
    </row>
    <row r="100" spans="1:8">
      <c r="A100" s="232" t="s">
        <v>303</v>
      </c>
      <c r="B100" s="152"/>
      <c r="C100" s="165"/>
      <c r="D100" s="165"/>
      <c r="E100" s="165"/>
      <c r="F100" s="165"/>
      <c r="G100" s="165"/>
      <c r="H100" s="182"/>
    </row>
    <row r="101" spans="1:8">
      <c r="A101" s="232"/>
      <c r="B101" s="111"/>
      <c r="C101" s="165"/>
      <c r="D101" s="165"/>
      <c r="E101" s="165"/>
      <c r="F101" s="165"/>
      <c r="G101" s="165"/>
      <c r="H101" s="182"/>
    </row>
    <row r="102" spans="1:8">
      <c r="A102" s="232"/>
      <c r="B102" s="111"/>
      <c r="C102" s="153"/>
      <c r="D102" s="165"/>
      <c r="E102" s="165"/>
      <c r="F102" s="165"/>
      <c r="G102" s="165"/>
      <c r="H102" s="182"/>
    </row>
    <row r="103" spans="1:8">
      <c r="A103" s="232"/>
      <c r="B103" s="111"/>
      <c r="C103" s="153"/>
      <c r="D103" s="165"/>
      <c r="E103" s="165"/>
      <c r="F103" s="165"/>
      <c r="G103" s="165"/>
      <c r="H103" s="182"/>
    </row>
    <row r="104" spans="1:8">
      <c r="A104" s="232"/>
      <c r="B104" s="111"/>
      <c r="C104" s="165"/>
      <c r="D104" s="165"/>
      <c r="E104" s="165"/>
      <c r="F104" s="165"/>
      <c r="G104" s="165"/>
      <c r="H104" s="182"/>
    </row>
    <row r="105" spans="1:8">
      <c r="A105" s="232"/>
      <c r="B105" s="236"/>
      <c r="C105" s="165"/>
      <c r="D105" s="165"/>
      <c r="E105" s="165"/>
      <c r="F105" s="165"/>
      <c r="G105" s="165"/>
      <c r="H105" s="182"/>
    </row>
    <row r="106" spans="1:8">
      <c r="A106" s="232"/>
      <c r="B106" s="111"/>
      <c r="C106" s="165"/>
      <c r="D106" s="165"/>
      <c r="E106" s="165"/>
      <c r="F106" s="165"/>
      <c r="G106" s="165"/>
      <c r="H106" s="182"/>
    </row>
    <row r="107" spans="1:8">
      <c r="A107" s="237" t="s">
        <v>304</v>
      </c>
      <c r="B107" s="238"/>
      <c r="C107" s="210"/>
      <c r="D107" s="210"/>
      <c r="E107" s="210"/>
      <c r="F107" s="210"/>
      <c r="G107" s="210"/>
      <c r="H107" s="182"/>
    </row>
    <row r="108" spans="1:8">
      <c r="A108" s="239" t="s">
        <v>224</v>
      </c>
      <c r="B108" s="240"/>
      <c r="C108" s="177"/>
      <c r="D108" s="177"/>
      <c r="E108" s="177"/>
      <c r="F108" s="177"/>
      <c r="G108" s="177"/>
      <c r="H108" s="182"/>
    </row>
  </sheetData>
  <mergeCells count="1"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C447-6CAB-4839-BBBD-3853933B58EC}">
  <dimension ref="A1:AA39"/>
  <sheetViews>
    <sheetView workbookViewId="0"/>
  </sheetViews>
  <sheetFormatPr baseColWidth="10" defaultRowHeight="15"/>
  <cols>
    <col min="1" max="1" width="14.7109375" bestFit="1" customWidth="1"/>
    <col min="3" max="3" width="14.140625" bestFit="1" customWidth="1"/>
    <col min="6" max="6" width="14.140625" bestFit="1" customWidth="1"/>
    <col min="7" max="7" width="14.7109375" bestFit="1" customWidth="1"/>
    <col min="9" max="9" width="14.140625" bestFit="1" customWidth="1"/>
    <col min="11" max="11" width="16.28515625" bestFit="1" customWidth="1"/>
    <col min="12" max="12" width="13.140625" bestFit="1" customWidth="1"/>
    <col min="13" max="13" width="14.7109375" bestFit="1" customWidth="1"/>
    <col min="14" max="14" width="14.5703125" bestFit="1" customWidth="1"/>
  </cols>
  <sheetData>
    <row r="1" spans="1:27" ht="28.5">
      <c r="A1" s="378" t="s">
        <v>431</v>
      </c>
      <c r="B1" s="378"/>
      <c r="C1" s="378"/>
      <c r="D1" s="378"/>
      <c r="E1" s="378"/>
      <c r="F1" s="378"/>
      <c r="G1" s="94"/>
      <c r="H1" s="94"/>
      <c r="I1" s="94"/>
      <c r="J1" s="94"/>
      <c r="K1" s="94"/>
      <c r="L1" s="94" t="s">
        <v>361</v>
      </c>
      <c r="M1" s="94" t="s">
        <v>361</v>
      </c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</row>
    <row r="2" spans="1:27">
      <c r="A2" s="94"/>
      <c r="B2" s="162" t="s">
        <v>362</v>
      </c>
      <c r="C2" s="162"/>
      <c r="D2" s="162"/>
      <c r="E2" s="278" t="s">
        <v>363</v>
      </c>
      <c r="F2" s="278" t="s">
        <v>363</v>
      </c>
      <c r="G2" s="94"/>
      <c r="H2" s="125" t="s">
        <v>362</v>
      </c>
      <c r="I2" s="125" t="s">
        <v>363</v>
      </c>
      <c r="J2" s="94"/>
      <c r="K2" s="310">
        <v>470610</v>
      </c>
      <c r="L2" s="310">
        <v>470610</v>
      </c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</row>
    <row r="3" spans="1:27">
      <c r="A3" s="311" t="s">
        <v>364</v>
      </c>
      <c r="B3" s="192">
        <v>75</v>
      </c>
      <c r="C3" s="192">
        <v>46</v>
      </c>
      <c r="D3" s="192">
        <v>28</v>
      </c>
      <c r="E3" s="312">
        <v>7</v>
      </c>
      <c r="F3" s="312"/>
      <c r="G3" s="313" t="s">
        <v>365</v>
      </c>
      <c r="H3" s="314">
        <v>13</v>
      </c>
      <c r="I3" s="314">
        <v>4</v>
      </c>
      <c r="J3" s="94"/>
      <c r="K3" s="310">
        <v>533610</v>
      </c>
      <c r="L3" s="310">
        <v>533610</v>
      </c>
      <c r="M3" s="313" t="s">
        <v>366</v>
      </c>
      <c r="N3" s="94"/>
      <c r="O3" s="94"/>
      <c r="P3" s="94" t="s">
        <v>367</v>
      </c>
      <c r="Q3" s="315" t="s">
        <v>368</v>
      </c>
      <c r="R3" s="315" t="s">
        <v>369</v>
      </c>
      <c r="S3" s="315" t="s">
        <v>370</v>
      </c>
      <c r="T3" s="315" t="s">
        <v>371</v>
      </c>
      <c r="U3" s="315" t="s">
        <v>372</v>
      </c>
      <c r="V3" s="315" t="s">
        <v>373</v>
      </c>
      <c r="W3" s="315" t="s">
        <v>374</v>
      </c>
      <c r="X3" s="315" t="s">
        <v>375</v>
      </c>
      <c r="Y3" s="315" t="s">
        <v>376</v>
      </c>
      <c r="Z3" s="315" t="s">
        <v>377</v>
      </c>
      <c r="AA3" s="315" t="s">
        <v>224</v>
      </c>
    </row>
    <row r="4" spans="1:27">
      <c r="A4" s="313" t="s">
        <v>378</v>
      </c>
      <c r="B4" s="316">
        <v>174300</v>
      </c>
      <c r="C4" s="316">
        <v>235305</v>
      </c>
      <c r="D4" s="316">
        <v>305897</v>
      </c>
      <c r="E4" s="310">
        <v>266805</v>
      </c>
      <c r="F4" s="192"/>
      <c r="G4" s="313" t="s">
        <v>378</v>
      </c>
      <c r="H4" s="310">
        <v>470610</v>
      </c>
      <c r="I4" s="310">
        <v>533610</v>
      </c>
      <c r="J4" s="94"/>
      <c r="K4" s="94"/>
      <c r="L4" s="94"/>
      <c r="M4" s="310">
        <v>42581651</v>
      </c>
      <c r="N4" s="94"/>
      <c r="O4" s="94"/>
      <c r="P4" s="94" t="s">
        <v>379</v>
      </c>
      <c r="Q4" s="162"/>
      <c r="R4" s="162"/>
      <c r="S4" s="317"/>
      <c r="T4" s="317"/>
      <c r="U4" s="317"/>
      <c r="V4" s="317"/>
      <c r="W4" s="317"/>
      <c r="X4" s="317"/>
      <c r="Y4" s="162"/>
      <c r="Z4" s="162"/>
      <c r="AA4" s="318"/>
    </row>
    <row r="5" spans="1:27">
      <c r="A5" s="94"/>
      <c r="B5" s="94"/>
      <c r="C5" s="94"/>
      <c r="D5" s="94"/>
      <c r="E5" s="319"/>
      <c r="F5" s="319"/>
      <c r="G5" s="319"/>
      <c r="H5" s="319"/>
      <c r="I5" s="319"/>
      <c r="J5" s="319"/>
      <c r="K5" s="319" t="s">
        <v>380</v>
      </c>
      <c r="L5" s="319"/>
      <c r="M5" s="319" t="s">
        <v>381</v>
      </c>
      <c r="N5" s="320" t="s">
        <v>382</v>
      </c>
      <c r="O5" s="94"/>
      <c r="P5" s="94" t="s">
        <v>383</v>
      </c>
      <c r="Q5" s="162"/>
      <c r="R5" s="317"/>
      <c r="S5" s="317"/>
      <c r="T5" s="317"/>
      <c r="U5" s="317"/>
      <c r="V5" s="317"/>
      <c r="W5" s="317"/>
      <c r="X5" s="317"/>
      <c r="Y5" s="162"/>
      <c r="Z5" s="162"/>
      <c r="AA5" s="318"/>
    </row>
    <row r="6" spans="1:27">
      <c r="A6" s="94"/>
      <c r="B6" s="192">
        <v>2025</v>
      </c>
      <c r="C6" s="321" t="s">
        <v>384</v>
      </c>
      <c r="D6" s="321" t="s">
        <v>385</v>
      </c>
      <c r="E6" s="321" t="s">
        <v>368</v>
      </c>
      <c r="F6" s="322" t="s">
        <v>369</v>
      </c>
      <c r="G6" s="322" t="s">
        <v>370</v>
      </c>
      <c r="H6" s="322" t="s">
        <v>371</v>
      </c>
      <c r="I6" s="322" t="s">
        <v>372</v>
      </c>
      <c r="J6" s="322" t="s">
        <v>373</v>
      </c>
      <c r="K6" s="322" t="s">
        <v>374</v>
      </c>
      <c r="L6" s="322" t="s">
        <v>375</v>
      </c>
      <c r="M6" s="322" t="s">
        <v>376</v>
      </c>
      <c r="N6" s="322" t="s">
        <v>377</v>
      </c>
      <c r="O6" s="322" t="s">
        <v>386</v>
      </c>
      <c r="P6" s="94" t="s">
        <v>122</v>
      </c>
      <c r="Q6" s="318"/>
      <c r="R6" s="318"/>
      <c r="S6" s="318"/>
      <c r="T6" s="318"/>
      <c r="U6" s="162"/>
      <c r="V6" s="162"/>
      <c r="W6" s="162"/>
      <c r="X6" s="162"/>
      <c r="Y6" s="162"/>
      <c r="Z6" s="162"/>
      <c r="AA6" s="318"/>
    </row>
    <row r="7" spans="1:27">
      <c r="A7" s="323" t="s">
        <v>387</v>
      </c>
      <c r="B7" s="324" t="s">
        <v>388</v>
      </c>
      <c r="C7" s="325" t="s">
        <v>389</v>
      </c>
      <c r="D7" s="325" t="s">
        <v>389</v>
      </c>
      <c r="E7" s="325">
        <v>1</v>
      </c>
      <c r="F7" s="326">
        <v>5</v>
      </c>
      <c r="G7" s="326">
        <v>1</v>
      </c>
      <c r="H7" s="326">
        <v>3</v>
      </c>
      <c r="I7" s="326">
        <v>36</v>
      </c>
      <c r="J7" s="326">
        <v>19</v>
      </c>
      <c r="K7" s="326">
        <v>22</v>
      </c>
      <c r="L7" s="326">
        <v>18</v>
      </c>
      <c r="M7" s="326">
        <v>16</v>
      </c>
      <c r="N7" s="326">
        <v>28</v>
      </c>
      <c r="O7" s="326">
        <v>149</v>
      </c>
      <c r="P7" s="94" t="s">
        <v>390</v>
      </c>
      <c r="Q7" s="162"/>
      <c r="R7" s="162"/>
      <c r="S7" s="318"/>
      <c r="T7" s="162"/>
      <c r="U7" s="162"/>
      <c r="V7" s="162"/>
      <c r="W7" s="162"/>
      <c r="X7" s="162"/>
      <c r="Y7" s="162"/>
      <c r="Z7" s="162"/>
      <c r="AA7" s="318"/>
    </row>
    <row r="8" spans="1:27">
      <c r="A8" s="327"/>
      <c r="B8" s="162" t="s">
        <v>391</v>
      </c>
      <c r="C8" s="328"/>
      <c r="D8" s="328"/>
      <c r="E8" s="328"/>
      <c r="F8" s="162"/>
      <c r="G8" s="162"/>
      <c r="H8" s="162"/>
      <c r="I8" s="162"/>
      <c r="J8" s="162"/>
      <c r="K8" s="162"/>
      <c r="L8" s="162"/>
      <c r="M8" s="162">
        <v>7</v>
      </c>
      <c r="N8" s="162"/>
      <c r="O8" s="162">
        <v>7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 t="s">
        <v>304</v>
      </c>
      <c r="AA8" s="59">
        <v>21494891.219999999</v>
      </c>
    </row>
    <row r="9" spans="1:27">
      <c r="A9" s="323" t="s">
        <v>392</v>
      </c>
      <c r="B9" s="326" t="s">
        <v>388</v>
      </c>
      <c r="C9" s="325"/>
      <c r="D9" s="325"/>
      <c r="E9" s="325"/>
      <c r="F9" s="326"/>
      <c r="G9" s="326"/>
      <c r="H9" s="326"/>
      <c r="I9" s="326"/>
      <c r="J9" s="326"/>
      <c r="K9" s="326"/>
      <c r="L9" s="326">
        <v>4</v>
      </c>
      <c r="M9" s="326">
        <v>3</v>
      </c>
      <c r="N9" s="326">
        <v>6</v>
      </c>
      <c r="O9" s="326">
        <v>13</v>
      </c>
      <c r="P9" s="94"/>
      <c r="Q9" s="329"/>
      <c r="R9" s="94"/>
      <c r="S9" s="329" t="s">
        <v>393</v>
      </c>
      <c r="T9" s="329"/>
      <c r="U9" s="94"/>
      <c r="V9" s="94"/>
      <c r="W9" s="94"/>
      <c r="X9" s="94"/>
      <c r="Y9" s="94"/>
      <c r="Z9" s="94"/>
      <c r="AA9" s="107"/>
    </row>
    <row r="10" spans="1:27">
      <c r="A10" s="327"/>
      <c r="B10" s="162" t="s">
        <v>391</v>
      </c>
      <c r="C10" s="328"/>
      <c r="D10" s="328"/>
      <c r="E10" s="328"/>
      <c r="F10" s="162"/>
      <c r="G10" s="162"/>
      <c r="H10" s="162"/>
      <c r="I10" s="162"/>
      <c r="J10" s="162"/>
      <c r="K10" s="162"/>
      <c r="L10" s="162"/>
      <c r="M10" s="162">
        <v>3</v>
      </c>
      <c r="N10" s="162">
        <v>1</v>
      </c>
      <c r="O10" s="162">
        <v>4</v>
      </c>
      <c r="P10" s="94"/>
      <c r="Q10" s="329"/>
      <c r="R10" s="94"/>
      <c r="S10" s="329"/>
      <c r="T10" s="329"/>
      <c r="U10" s="94"/>
      <c r="V10" s="94"/>
      <c r="W10" s="94"/>
      <c r="X10" s="94"/>
      <c r="Y10" s="94"/>
      <c r="Z10" s="94"/>
      <c r="AA10" s="107"/>
    </row>
    <row r="11" spans="1:27">
      <c r="A11" s="94"/>
      <c r="B11" s="329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330">
        <v>173</v>
      </c>
      <c r="P11" s="94"/>
      <c r="Q11" s="94"/>
      <c r="R11" s="94"/>
      <c r="S11" s="331">
        <v>5.9999999999999995E-4</v>
      </c>
      <c r="T11" s="101">
        <v>25548.99</v>
      </c>
      <c r="U11" s="94"/>
      <c r="V11" s="94"/>
      <c r="W11" s="94"/>
      <c r="X11" s="94"/>
      <c r="Y11" s="94"/>
      <c r="Z11" s="94"/>
      <c r="AA11" s="94"/>
    </row>
    <row r="12" spans="1:27">
      <c r="A12" s="94"/>
      <c r="B12" s="192">
        <v>2026</v>
      </c>
      <c r="C12" s="321" t="s">
        <v>384</v>
      </c>
      <c r="D12" s="322" t="s">
        <v>385</v>
      </c>
      <c r="E12" s="322" t="s">
        <v>368</v>
      </c>
      <c r="F12" s="322" t="s">
        <v>369</v>
      </c>
      <c r="G12" s="322" t="s">
        <v>370</v>
      </c>
      <c r="H12" s="322" t="s">
        <v>371</v>
      </c>
      <c r="I12" s="322" t="s">
        <v>372</v>
      </c>
      <c r="J12" s="322" t="s">
        <v>373</v>
      </c>
      <c r="K12" s="322" t="s">
        <v>374</v>
      </c>
      <c r="L12" s="322" t="s">
        <v>375</v>
      </c>
      <c r="M12" s="322" t="s">
        <v>376</v>
      </c>
      <c r="N12" s="322" t="s">
        <v>377</v>
      </c>
      <c r="O12" s="322" t="s">
        <v>386</v>
      </c>
      <c r="P12" s="94"/>
      <c r="Q12" s="94"/>
      <c r="R12" s="94"/>
      <c r="S12" s="331">
        <v>0.03</v>
      </c>
      <c r="T12" s="101">
        <v>1277449.53</v>
      </c>
      <c r="U12" s="94"/>
      <c r="V12" s="94"/>
      <c r="W12" s="94"/>
      <c r="X12" s="94"/>
      <c r="Y12" s="94"/>
      <c r="Z12" s="94"/>
      <c r="AA12" s="94"/>
    </row>
    <row r="13" spans="1:27">
      <c r="A13" s="323" t="s">
        <v>387</v>
      </c>
      <c r="B13" s="324" t="s">
        <v>388</v>
      </c>
      <c r="C13" s="325">
        <v>14</v>
      </c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>
        <v>14</v>
      </c>
      <c r="P13" s="94"/>
      <c r="Q13" s="94"/>
      <c r="R13" s="94"/>
      <c r="S13" s="331">
        <v>4.8300000000000003E-2</v>
      </c>
      <c r="T13" s="101">
        <v>2056693.74</v>
      </c>
      <c r="U13" s="94"/>
      <c r="V13" s="94"/>
      <c r="W13" s="94"/>
      <c r="X13" s="94"/>
      <c r="Y13" s="94"/>
      <c r="Z13" s="94"/>
      <c r="AA13" s="94"/>
    </row>
    <row r="14" spans="1:27">
      <c r="A14" s="327"/>
      <c r="B14" s="162" t="s">
        <v>391</v>
      </c>
      <c r="C14" s="328">
        <v>2</v>
      </c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>
        <v>2</v>
      </c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</row>
    <row r="15" spans="1:27">
      <c r="A15" s="323" t="s">
        <v>392</v>
      </c>
      <c r="B15" s="326" t="s">
        <v>388</v>
      </c>
      <c r="C15" s="325">
        <v>4</v>
      </c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>
        <v>4</v>
      </c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</row>
    <row r="16" spans="1:27">
      <c r="A16" s="327"/>
      <c r="B16" s="162" t="s">
        <v>391</v>
      </c>
      <c r="C16" s="328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>
        <v>0</v>
      </c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</row>
    <row r="17" spans="1:27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>
        <v>20</v>
      </c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</row>
    <row r="18" spans="1:27" ht="75">
      <c r="A18" s="332" t="s">
        <v>394</v>
      </c>
      <c r="B18" s="333" t="s">
        <v>395</v>
      </c>
      <c r="C18" s="333" t="s">
        <v>396</v>
      </c>
      <c r="D18" s="333" t="s">
        <v>397</v>
      </c>
      <c r="E18" s="333" t="s">
        <v>396</v>
      </c>
      <c r="F18" s="333" t="s">
        <v>398</v>
      </c>
      <c r="G18" s="334" t="s">
        <v>399</v>
      </c>
      <c r="H18" s="334" t="s">
        <v>400</v>
      </c>
      <c r="I18" s="335" t="s">
        <v>401</v>
      </c>
      <c r="J18" s="336" t="s">
        <v>122</v>
      </c>
      <c r="K18" s="337" t="s">
        <v>402</v>
      </c>
      <c r="L18" s="338" t="s">
        <v>403</v>
      </c>
      <c r="M18" s="339" t="s">
        <v>404</v>
      </c>
      <c r="N18" s="340" t="s">
        <v>405</v>
      </c>
      <c r="O18" s="94"/>
      <c r="P18" s="94"/>
      <c r="Q18" s="94"/>
      <c r="R18" s="341" t="s">
        <v>406</v>
      </c>
      <c r="S18" s="342" t="s">
        <v>407</v>
      </c>
      <c r="T18" s="343"/>
      <c r="U18" s="343"/>
      <c r="V18" s="344"/>
      <c r="W18" s="94"/>
      <c r="X18" s="94"/>
      <c r="Y18" s="94"/>
      <c r="Z18" s="94"/>
      <c r="AA18" s="94"/>
    </row>
    <row r="19" spans="1:27">
      <c r="A19" s="345" t="s">
        <v>408</v>
      </c>
      <c r="B19" s="346">
        <v>14845</v>
      </c>
      <c r="C19" s="347">
        <v>233</v>
      </c>
      <c r="D19" s="346">
        <v>18749</v>
      </c>
      <c r="E19" s="347">
        <v>52</v>
      </c>
      <c r="F19" s="346">
        <v>4433833</v>
      </c>
      <c r="G19" s="348">
        <v>12834075</v>
      </c>
      <c r="H19" s="348">
        <v>5000000</v>
      </c>
      <c r="I19" s="349">
        <v>17834075</v>
      </c>
      <c r="J19" s="350">
        <v>301123.96000000002</v>
      </c>
      <c r="K19" s="351">
        <v>3359692.26</v>
      </c>
      <c r="L19" s="352">
        <v>3660816.22</v>
      </c>
      <c r="M19" s="353" t="s">
        <v>409</v>
      </c>
      <c r="N19" s="354"/>
      <c r="O19" s="94"/>
      <c r="P19" s="94"/>
      <c r="Q19" s="94"/>
      <c r="R19" s="355" t="s">
        <v>410</v>
      </c>
      <c r="S19" s="342" t="s">
        <v>42</v>
      </c>
      <c r="T19" s="343">
        <v>8000</v>
      </c>
      <c r="U19" s="356">
        <v>6714.2857139999996</v>
      </c>
      <c r="V19" s="357">
        <v>2800000</v>
      </c>
      <c r="W19" s="94"/>
      <c r="X19" s="94"/>
      <c r="Y19" s="94"/>
      <c r="Z19" s="94"/>
      <c r="AA19" s="94"/>
    </row>
    <row r="20" spans="1:27">
      <c r="A20" s="358" t="s">
        <v>411</v>
      </c>
      <c r="B20" s="359">
        <v>11349</v>
      </c>
      <c r="C20" s="347">
        <v>233</v>
      </c>
      <c r="D20" s="359">
        <v>14432</v>
      </c>
      <c r="E20" s="347">
        <v>52</v>
      </c>
      <c r="F20" s="346">
        <v>3394781</v>
      </c>
      <c r="G20" s="360"/>
      <c r="H20" s="360"/>
      <c r="I20" s="361" t="s">
        <v>412</v>
      </c>
      <c r="J20" s="362"/>
      <c r="K20" s="363"/>
      <c r="L20" s="364" t="s">
        <v>412</v>
      </c>
      <c r="M20" s="353"/>
      <c r="N20" s="354"/>
      <c r="O20" s="94"/>
      <c r="P20" s="94"/>
      <c r="Q20" s="94"/>
      <c r="R20" s="355" t="s">
        <v>412</v>
      </c>
      <c r="S20" s="342"/>
      <c r="T20" s="343">
        <v>6500</v>
      </c>
      <c r="U20" s="365"/>
      <c r="V20" s="357">
        <v>2275000</v>
      </c>
      <c r="W20" s="94"/>
      <c r="X20" s="94"/>
      <c r="Y20" s="94"/>
      <c r="Z20" s="94"/>
      <c r="AA20" s="94"/>
    </row>
    <row r="21" spans="1:27">
      <c r="A21" s="358" t="s">
        <v>413</v>
      </c>
      <c r="B21" s="359">
        <v>11149</v>
      </c>
      <c r="C21" s="347">
        <v>233</v>
      </c>
      <c r="D21" s="359">
        <v>14554</v>
      </c>
      <c r="E21" s="347">
        <v>52</v>
      </c>
      <c r="F21" s="346">
        <v>3354525</v>
      </c>
      <c r="G21" s="360"/>
      <c r="H21" s="360"/>
      <c r="I21" s="361" t="s">
        <v>412</v>
      </c>
      <c r="J21" s="362"/>
      <c r="K21" s="363"/>
      <c r="L21" s="364" t="s">
        <v>412</v>
      </c>
      <c r="M21" s="353"/>
      <c r="N21" s="354"/>
      <c r="O21" s="94"/>
      <c r="P21" s="94"/>
      <c r="Q21" s="94"/>
      <c r="R21" s="355" t="s">
        <v>412</v>
      </c>
      <c r="S21" s="342"/>
      <c r="T21" s="343">
        <v>6500</v>
      </c>
      <c r="U21" s="365"/>
      <c r="V21" s="357">
        <v>2275000</v>
      </c>
      <c r="W21" s="94"/>
      <c r="X21" s="94"/>
      <c r="Y21" s="94"/>
      <c r="Z21" s="94"/>
      <c r="AA21" s="94"/>
    </row>
    <row r="22" spans="1:27">
      <c r="A22" s="358" t="s">
        <v>414</v>
      </c>
      <c r="B22" s="366">
        <v>12273</v>
      </c>
      <c r="C22" s="347">
        <v>233</v>
      </c>
      <c r="D22" s="366">
        <v>15648</v>
      </c>
      <c r="E22" s="347">
        <v>52</v>
      </c>
      <c r="F22" s="346">
        <v>3673305</v>
      </c>
      <c r="G22" s="360"/>
      <c r="H22" s="360"/>
      <c r="I22" s="361" t="s">
        <v>412</v>
      </c>
      <c r="J22" s="362"/>
      <c r="K22" s="363"/>
      <c r="L22" s="364" t="s">
        <v>412</v>
      </c>
      <c r="M22" s="353"/>
      <c r="N22" s="354"/>
      <c r="O22" s="94"/>
      <c r="P22" s="94"/>
      <c r="Q22" s="94"/>
      <c r="R22" s="355" t="s">
        <v>412</v>
      </c>
      <c r="S22" s="342"/>
      <c r="T22" s="343">
        <v>6500</v>
      </c>
      <c r="U22" s="365"/>
      <c r="V22" s="357">
        <v>2275000</v>
      </c>
      <c r="W22" s="94"/>
      <c r="X22" s="94"/>
      <c r="Y22" s="94"/>
      <c r="Z22" s="94"/>
      <c r="AA22" s="94"/>
    </row>
    <row r="23" spans="1:27">
      <c r="A23" s="358" t="s">
        <v>415</v>
      </c>
      <c r="B23" s="366">
        <v>12920</v>
      </c>
      <c r="C23" s="347">
        <v>233</v>
      </c>
      <c r="D23" s="366">
        <v>16499</v>
      </c>
      <c r="E23" s="347">
        <v>52</v>
      </c>
      <c r="F23" s="346">
        <v>3868308</v>
      </c>
      <c r="G23" s="360"/>
      <c r="H23" s="360"/>
      <c r="I23" s="361" t="s">
        <v>412</v>
      </c>
      <c r="J23" s="362"/>
      <c r="K23" s="363"/>
      <c r="L23" s="364" t="s">
        <v>412</v>
      </c>
      <c r="M23" s="353"/>
      <c r="N23" s="354"/>
      <c r="O23" s="94"/>
      <c r="P23" s="94"/>
      <c r="Q23" s="94"/>
      <c r="R23" s="355" t="s">
        <v>412</v>
      </c>
      <c r="S23" s="342"/>
      <c r="T23" s="343">
        <v>6500</v>
      </c>
      <c r="U23" s="365"/>
      <c r="V23" s="357">
        <v>2275000</v>
      </c>
      <c r="W23" s="94"/>
      <c r="X23" s="94"/>
      <c r="Y23" s="94"/>
      <c r="Z23" s="94"/>
      <c r="AA23" s="94"/>
    </row>
    <row r="24" spans="1:27">
      <c r="A24" s="358" t="s">
        <v>416</v>
      </c>
      <c r="B24" s="366">
        <v>12695</v>
      </c>
      <c r="C24" s="347">
        <v>233</v>
      </c>
      <c r="D24" s="366">
        <v>16134</v>
      </c>
      <c r="E24" s="347">
        <v>52</v>
      </c>
      <c r="F24" s="346">
        <v>3796903</v>
      </c>
      <c r="G24" s="360"/>
      <c r="H24" s="360"/>
      <c r="I24" s="361" t="s">
        <v>412</v>
      </c>
      <c r="J24" s="362"/>
      <c r="K24" s="363"/>
      <c r="L24" s="364" t="s">
        <v>412</v>
      </c>
      <c r="M24" s="353"/>
      <c r="N24" s="354"/>
      <c r="O24" s="94"/>
      <c r="P24" s="94"/>
      <c r="Q24" s="94"/>
      <c r="R24" s="355" t="s">
        <v>412</v>
      </c>
      <c r="S24" s="342"/>
      <c r="T24" s="343">
        <v>6500</v>
      </c>
      <c r="U24" s="365"/>
      <c r="V24" s="357">
        <v>2275000</v>
      </c>
      <c r="W24" s="94"/>
      <c r="X24" s="94"/>
      <c r="Y24" s="94"/>
      <c r="Z24" s="94"/>
      <c r="AA24" s="94"/>
    </row>
    <row r="25" spans="1:27">
      <c r="A25" s="358" t="s">
        <v>417</v>
      </c>
      <c r="B25" s="366">
        <v>11981</v>
      </c>
      <c r="C25" s="347">
        <v>233</v>
      </c>
      <c r="D25" s="366">
        <v>15283</v>
      </c>
      <c r="E25" s="347">
        <v>52</v>
      </c>
      <c r="F25" s="346">
        <v>3586289</v>
      </c>
      <c r="G25" s="360"/>
      <c r="H25" s="367"/>
      <c r="I25" s="361" t="s">
        <v>412</v>
      </c>
      <c r="J25" s="362"/>
      <c r="K25" s="363"/>
      <c r="L25" s="364" t="s">
        <v>412</v>
      </c>
      <c r="M25" s="353"/>
      <c r="N25" s="354"/>
      <c r="O25" s="94"/>
      <c r="P25" s="94"/>
      <c r="Q25" s="94"/>
      <c r="R25" s="355" t="s">
        <v>412</v>
      </c>
      <c r="S25" s="342"/>
      <c r="T25" s="343">
        <v>6500</v>
      </c>
      <c r="U25" s="365"/>
      <c r="V25" s="357">
        <v>2275000</v>
      </c>
      <c r="W25" s="94"/>
      <c r="X25" s="94"/>
      <c r="Y25" s="94"/>
      <c r="Z25" s="94"/>
      <c r="AA25" s="94"/>
    </row>
    <row r="26" spans="1:27">
      <c r="A26" s="368" t="s">
        <v>418</v>
      </c>
      <c r="B26" s="369">
        <v>87212</v>
      </c>
      <c r="C26" s="368">
        <v>233</v>
      </c>
      <c r="D26" s="369">
        <v>111299</v>
      </c>
      <c r="E26" s="368">
        <v>52</v>
      </c>
      <c r="F26" s="369">
        <v>26107944</v>
      </c>
      <c r="G26" s="367"/>
      <c r="H26" s="367"/>
      <c r="I26" s="349">
        <v>17834075</v>
      </c>
      <c r="J26" s="362"/>
      <c r="K26" s="363"/>
      <c r="L26" s="352">
        <v>3660816.22</v>
      </c>
      <c r="M26" s="353"/>
      <c r="N26" s="354"/>
      <c r="O26" s="94"/>
      <c r="P26" s="94"/>
      <c r="Q26" s="94"/>
      <c r="R26" s="355" t="s">
        <v>412</v>
      </c>
      <c r="S26" s="342"/>
      <c r="T26" s="343">
        <v>47000</v>
      </c>
      <c r="U26" s="370"/>
      <c r="V26" s="357">
        <v>16450000</v>
      </c>
      <c r="W26" s="94"/>
      <c r="X26" s="94"/>
      <c r="Y26" s="94"/>
      <c r="Z26" s="94"/>
      <c r="AA26" s="94"/>
    </row>
    <row r="27" spans="1:27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 spans="1:27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 spans="1:27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 spans="1:27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 spans="1:27">
      <c r="A31" s="94"/>
      <c r="B31" s="125" t="s">
        <v>419</v>
      </c>
      <c r="C31" s="371">
        <v>235305</v>
      </c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 spans="1:27">
      <c r="A32" s="94"/>
      <c r="B32" s="125" t="s">
        <v>420</v>
      </c>
      <c r="C32" s="371">
        <v>470610</v>
      </c>
      <c r="D32" s="94"/>
      <c r="E32" s="404" t="s">
        <v>421</v>
      </c>
      <c r="F32" s="405"/>
      <c r="G32" s="373">
        <v>26107944</v>
      </c>
      <c r="H32" s="94"/>
      <c r="I32" s="94" t="s">
        <v>422</v>
      </c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 spans="1:27">
      <c r="A33" s="94"/>
      <c r="B33" s="94"/>
      <c r="C33" s="94"/>
      <c r="D33" s="94"/>
      <c r="E33" s="372" t="s">
        <v>423</v>
      </c>
      <c r="F33" s="328"/>
      <c r="G33" s="373">
        <v>21494891.219999999</v>
      </c>
      <c r="H33" s="94"/>
      <c r="I33" s="101">
        <v>2950000</v>
      </c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 spans="1:27">
      <c r="A34" s="94"/>
      <c r="B34" s="125" t="s">
        <v>424</v>
      </c>
      <c r="C34" s="371">
        <v>42581651</v>
      </c>
      <c r="D34" s="94"/>
      <c r="E34" s="372" t="s">
        <v>425</v>
      </c>
      <c r="F34" s="328"/>
      <c r="G34" s="374">
        <v>47602835.219999999</v>
      </c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 spans="1:27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 spans="1:27">
      <c r="A36" s="94"/>
      <c r="B36" s="125" t="s">
        <v>426</v>
      </c>
      <c r="C36" s="375">
        <v>2071184.22</v>
      </c>
      <c r="D36" s="94"/>
      <c r="E36" s="329" t="s">
        <v>427</v>
      </c>
      <c r="F36" s="329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 spans="1:27">
      <c r="A37" s="94"/>
      <c r="B37" s="94"/>
      <c r="C37" s="94"/>
      <c r="D37" s="94"/>
      <c r="E37" s="376">
        <v>167027.49</v>
      </c>
      <c r="F37" s="377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 spans="1:27">
      <c r="A38" s="94"/>
      <c r="B38" s="125" t="s">
        <v>428</v>
      </c>
      <c r="C38" s="278">
        <v>8.8000000000000007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 spans="1:27">
      <c r="A39" s="94"/>
      <c r="B39" s="125" t="s">
        <v>429</v>
      </c>
      <c r="C39" s="278">
        <v>4.4000000000000004</v>
      </c>
      <c r="D39" s="94"/>
      <c r="E39" s="94" t="s">
        <v>430</v>
      </c>
      <c r="F39" s="101">
        <v>14118300</v>
      </c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</sheetData>
  <mergeCells count="1">
    <mergeCell ref="E32:F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58F0-E268-46A4-A36B-E4BD3CADEE70}">
  <dimension ref="A1:R17"/>
  <sheetViews>
    <sheetView workbookViewId="0">
      <selection activeCell="F6" sqref="F6:F13"/>
    </sheetView>
  </sheetViews>
  <sheetFormatPr baseColWidth="10" defaultRowHeight="15"/>
  <sheetData>
    <row r="1" spans="1:18">
      <c r="A1" s="2" t="s">
        <v>306</v>
      </c>
      <c r="B1" s="58">
        <v>75000</v>
      </c>
      <c r="C1" s="2"/>
      <c r="D1" s="412"/>
      <c r="E1" s="414"/>
      <c r="F1" s="414"/>
      <c r="G1" s="414"/>
      <c r="H1" s="414"/>
      <c r="I1" s="414"/>
      <c r="J1" s="414"/>
      <c r="K1" s="414"/>
      <c r="L1" s="414"/>
      <c r="M1" s="2"/>
      <c r="N1" s="2"/>
      <c r="O1" s="2"/>
      <c r="P1" s="2"/>
      <c r="Q1" s="2"/>
      <c r="R1" s="2"/>
    </row>
    <row r="2" spans="1:18">
      <c r="A2" s="2" t="s">
        <v>307</v>
      </c>
      <c r="B2" s="58">
        <v>8000</v>
      </c>
      <c r="C2" s="2"/>
      <c r="D2" s="412"/>
      <c r="E2" s="414"/>
      <c r="F2" s="414"/>
      <c r="G2" s="414"/>
      <c r="H2" s="414"/>
      <c r="I2" s="414"/>
      <c r="J2" s="414"/>
      <c r="K2" s="414"/>
      <c r="L2" s="414"/>
      <c r="M2" s="2"/>
      <c r="N2" s="2"/>
      <c r="O2" s="2"/>
      <c r="P2" s="2"/>
      <c r="Q2" s="2"/>
      <c r="R2" s="2"/>
    </row>
    <row r="3" spans="1:18">
      <c r="A3" s="2"/>
      <c r="B3" s="2"/>
      <c r="C3" s="2"/>
      <c r="D3" s="413"/>
      <c r="E3" s="408"/>
      <c r="F3" s="408"/>
      <c r="G3" s="408"/>
      <c r="H3" s="408"/>
      <c r="I3" s="408"/>
      <c r="J3" s="408"/>
      <c r="K3" s="408"/>
      <c r="L3" s="408"/>
      <c r="M3" s="2"/>
      <c r="N3" s="2"/>
      <c r="O3" s="2"/>
      <c r="P3" s="2"/>
      <c r="Q3" s="2"/>
      <c r="R3" s="2"/>
    </row>
    <row r="4" spans="1:18">
      <c r="A4" s="2"/>
      <c r="B4" s="2"/>
      <c r="C4" s="409" t="s">
        <v>308</v>
      </c>
      <c r="D4" s="410"/>
      <c r="E4" s="410"/>
      <c r="F4" s="410"/>
      <c r="G4" s="410"/>
      <c r="H4" s="411"/>
      <c r="I4" s="409" t="s">
        <v>309</v>
      </c>
      <c r="J4" s="411"/>
      <c r="K4" s="409" t="s">
        <v>310</v>
      </c>
      <c r="L4" s="410"/>
      <c r="M4" s="410"/>
      <c r="N4" s="411"/>
      <c r="O4" s="2"/>
      <c r="P4" s="2"/>
      <c r="Q4" s="2"/>
      <c r="R4" s="2"/>
    </row>
    <row r="5" spans="1:18" ht="30">
      <c r="A5" s="2"/>
      <c r="B5" s="2"/>
      <c r="C5" s="406" t="s">
        <v>311</v>
      </c>
      <c r="D5" s="407"/>
      <c r="E5" s="406" t="s">
        <v>312</v>
      </c>
      <c r="F5" s="407"/>
      <c r="G5" s="406" t="s">
        <v>313</v>
      </c>
      <c r="H5" s="407"/>
      <c r="I5" s="406" t="s">
        <v>312</v>
      </c>
      <c r="J5" s="407"/>
      <c r="K5" s="406" t="s">
        <v>311</v>
      </c>
      <c r="L5" s="407"/>
      <c r="M5" s="406" t="s">
        <v>314</v>
      </c>
      <c r="N5" s="407"/>
      <c r="O5" s="2"/>
      <c r="P5" s="246" t="s">
        <v>315</v>
      </c>
      <c r="Q5" s="247" t="s">
        <v>316</v>
      </c>
      <c r="R5" s="246" t="s">
        <v>297</v>
      </c>
    </row>
    <row r="6" spans="1:18">
      <c r="A6" s="248" t="s">
        <v>263</v>
      </c>
      <c r="B6" s="248"/>
      <c r="C6" s="249"/>
      <c r="D6" s="249" t="s">
        <v>41</v>
      </c>
      <c r="E6" s="249">
        <v>3</v>
      </c>
      <c r="F6" s="250">
        <v>225000</v>
      </c>
      <c r="G6" s="249"/>
      <c r="H6" s="249" t="s">
        <v>42</v>
      </c>
      <c r="I6" s="249"/>
      <c r="J6" s="249" t="s">
        <v>42</v>
      </c>
      <c r="K6" s="249"/>
      <c r="L6" s="249" t="s">
        <v>42</v>
      </c>
      <c r="M6" s="249"/>
      <c r="N6" s="249" t="s">
        <v>42</v>
      </c>
      <c r="O6" s="251">
        <v>225000</v>
      </c>
      <c r="P6" s="252">
        <v>45751</v>
      </c>
      <c r="Q6" s="252">
        <v>45754</v>
      </c>
      <c r="R6" s="252">
        <v>45757</v>
      </c>
    </row>
    <row r="7" spans="1:18">
      <c r="A7" s="2" t="s">
        <v>264</v>
      </c>
      <c r="B7" s="2"/>
      <c r="C7" s="19"/>
      <c r="D7" s="19" t="s">
        <v>41</v>
      </c>
      <c r="E7" s="19">
        <v>3</v>
      </c>
      <c r="F7" s="74">
        <v>225000</v>
      </c>
      <c r="G7" s="19"/>
      <c r="H7" s="19" t="s">
        <v>42</v>
      </c>
      <c r="I7" s="19"/>
      <c r="J7" s="19" t="s">
        <v>42</v>
      </c>
      <c r="K7" s="19"/>
      <c r="L7" s="19" t="s">
        <v>42</v>
      </c>
      <c r="M7" s="19"/>
      <c r="N7" s="19" t="s">
        <v>42</v>
      </c>
      <c r="O7" s="251">
        <v>225000</v>
      </c>
      <c r="P7" s="252">
        <v>45751</v>
      </c>
      <c r="Q7" s="252">
        <v>45754</v>
      </c>
      <c r="R7" s="252">
        <v>45762</v>
      </c>
    </row>
    <row r="8" spans="1:18">
      <c r="A8" s="248" t="s">
        <v>269</v>
      </c>
      <c r="B8" s="248"/>
      <c r="C8" s="249"/>
      <c r="D8" s="249" t="s">
        <v>41</v>
      </c>
      <c r="E8" s="249">
        <v>2</v>
      </c>
      <c r="F8" s="250">
        <v>150000</v>
      </c>
      <c r="G8" s="249"/>
      <c r="H8" s="249" t="s">
        <v>42</v>
      </c>
      <c r="I8" s="249"/>
      <c r="J8" s="249" t="s">
        <v>42</v>
      </c>
      <c r="K8" s="249"/>
      <c r="L8" s="249" t="s">
        <v>42</v>
      </c>
      <c r="M8" s="249"/>
      <c r="N8" s="249" t="s">
        <v>42</v>
      </c>
      <c r="O8" s="251">
        <v>150000</v>
      </c>
      <c r="P8" s="252">
        <v>45751</v>
      </c>
      <c r="Q8" s="252">
        <v>45755</v>
      </c>
      <c r="R8" s="252">
        <v>45757</v>
      </c>
    </row>
    <row r="9" spans="1:18">
      <c r="A9" s="2" t="s">
        <v>270</v>
      </c>
      <c r="B9" s="2"/>
      <c r="C9" s="19"/>
      <c r="D9" s="19" t="s">
        <v>41</v>
      </c>
      <c r="E9" s="19">
        <v>2</v>
      </c>
      <c r="F9" s="74">
        <v>150000</v>
      </c>
      <c r="G9" s="19"/>
      <c r="H9" s="19" t="s">
        <v>42</v>
      </c>
      <c r="I9" s="19"/>
      <c r="J9" s="19" t="s">
        <v>42</v>
      </c>
      <c r="K9" s="19"/>
      <c r="L9" s="19" t="s">
        <v>42</v>
      </c>
      <c r="M9" s="19"/>
      <c r="N9" s="19" t="s">
        <v>42</v>
      </c>
      <c r="O9" s="251">
        <v>150000</v>
      </c>
      <c r="P9" s="252">
        <v>45751</v>
      </c>
      <c r="Q9" s="252">
        <v>45754</v>
      </c>
      <c r="R9" s="252">
        <v>45757</v>
      </c>
    </row>
    <row r="10" spans="1:18">
      <c r="A10" s="248" t="s">
        <v>271</v>
      </c>
      <c r="B10" s="248"/>
      <c r="C10" s="249"/>
      <c r="D10" s="249" t="s">
        <v>41</v>
      </c>
      <c r="E10" s="249">
        <v>3</v>
      </c>
      <c r="F10" s="250">
        <v>225000</v>
      </c>
      <c r="G10" s="249"/>
      <c r="H10" s="249" t="s">
        <v>42</v>
      </c>
      <c r="I10" s="249"/>
      <c r="J10" s="249" t="s">
        <v>42</v>
      </c>
      <c r="K10" s="249"/>
      <c r="L10" s="249" t="s">
        <v>42</v>
      </c>
      <c r="M10" s="249"/>
      <c r="N10" s="249" t="s">
        <v>42</v>
      </c>
      <c r="O10" s="251">
        <v>225000</v>
      </c>
      <c r="P10" s="252">
        <v>45751</v>
      </c>
      <c r="Q10" s="252">
        <v>45755</v>
      </c>
      <c r="R10" s="252">
        <v>45757</v>
      </c>
    </row>
    <row r="11" spans="1:18">
      <c r="A11" s="2" t="s">
        <v>272</v>
      </c>
      <c r="B11" s="2"/>
      <c r="C11" s="19"/>
      <c r="D11" s="19" t="s">
        <v>41</v>
      </c>
      <c r="E11" s="19">
        <v>2</v>
      </c>
      <c r="F11" s="74">
        <v>150000</v>
      </c>
      <c r="G11" s="19"/>
      <c r="H11" s="19" t="s">
        <v>42</v>
      </c>
      <c r="I11" s="19"/>
      <c r="J11" s="19" t="s">
        <v>42</v>
      </c>
      <c r="K11" s="19"/>
      <c r="L11" s="19" t="s">
        <v>42</v>
      </c>
      <c r="M11" s="19"/>
      <c r="N11" s="19" t="s">
        <v>42</v>
      </c>
      <c r="O11" s="251">
        <v>150000</v>
      </c>
      <c r="P11" s="252">
        <v>45751</v>
      </c>
      <c r="Q11" s="252">
        <v>45754</v>
      </c>
      <c r="R11" s="252">
        <v>45757</v>
      </c>
    </row>
    <row r="12" spans="1:18">
      <c r="A12" s="253" t="s">
        <v>273</v>
      </c>
      <c r="B12" s="253"/>
      <c r="C12" s="249"/>
      <c r="D12" s="249" t="s">
        <v>41</v>
      </c>
      <c r="E12" s="249">
        <v>2</v>
      </c>
      <c r="F12" s="250">
        <v>150000</v>
      </c>
      <c r="G12" s="249"/>
      <c r="H12" s="249" t="s">
        <v>42</v>
      </c>
      <c r="I12" s="249"/>
      <c r="J12" s="249" t="s">
        <v>42</v>
      </c>
      <c r="K12" s="249"/>
      <c r="L12" s="249" t="s">
        <v>42</v>
      </c>
      <c r="M12" s="249"/>
      <c r="N12" s="249" t="s">
        <v>42</v>
      </c>
      <c r="O12" s="254">
        <v>150000</v>
      </c>
      <c r="P12" s="19"/>
      <c r="Q12" s="19"/>
      <c r="R12" s="19"/>
    </row>
    <row r="13" spans="1:18">
      <c r="A13" s="2" t="s">
        <v>274</v>
      </c>
      <c r="B13" s="2"/>
      <c r="C13" s="19"/>
      <c r="D13" s="19" t="s">
        <v>41</v>
      </c>
      <c r="E13" s="19">
        <v>2</v>
      </c>
      <c r="F13" s="74">
        <v>150000</v>
      </c>
      <c r="G13" s="19"/>
      <c r="H13" s="19" t="s">
        <v>42</v>
      </c>
      <c r="I13" s="19"/>
      <c r="J13" s="19" t="s">
        <v>42</v>
      </c>
      <c r="K13" s="19"/>
      <c r="L13" s="19" t="s">
        <v>42</v>
      </c>
      <c r="M13" s="19"/>
      <c r="N13" s="19" t="s">
        <v>42</v>
      </c>
      <c r="O13" s="251">
        <v>150000</v>
      </c>
      <c r="P13" s="19"/>
      <c r="Q13" s="19"/>
      <c r="R13" s="252">
        <v>45761</v>
      </c>
    </row>
    <row r="14" spans="1:18">
      <c r="A14" s="253"/>
      <c r="B14" s="253"/>
      <c r="C14" s="249"/>
      <c r="D14" s="249" t="s">
        <v>41</v>
      </c>
      <c r="E14" s="249"/>
      <c r="F14" s="249" t="s">
        <v>42</v>
      </c>
      <c r="G14" s="249"/>
      <c r="H14" s="249" t="s">
        <v>42</v>
      </c>
      <c r="I14" s="249"/>
      <c r="J14" s="249" t="s">
        <v>42</v>
      </c>
      <c r="K14" s="249"/>
      <c r="L14" s="249" t="s">
        <v>42</v>
      </c>
      <c r="M14" s="249"/>
      <c r="N14" s="249" t="s">
        <v>42</v>
      </c>
      <c r="O14" s="255" t="s">
        <v>42</v>
      </c>
      <c r="P14" s="252">
        <v>45761</v>
      </c>
      <c r="Q14" s="252">
        <v>45761</v>
      </c>
      <c r="R14" s="252">
        <v>45763</v>
      </c>
    </row>
    <row r="15" spans="1:18">
      <c r="A15" s="2"/>
      <c r="B15" s="2"/>
      <c r="C15" s="19"/>
      <c r="D15" s="19" t="s">
        <v>41</v>
      </c>
      <c r="E15" s="19"/>
      <c r="F15" s="19" t="s">
        <v>42</v>
      </c>
      <c r="G15" s="19"/>
      <c r="H15" s="19" t="s">
        <v>42</v>
      </c>
      <c r="I15" s="19"/>
      <c r="J15" s="19" t="s">
        <v>42</v>
      </c>
      <c r="K15" s="19"/>
      <c r="L15" s="19" t="s">
        <v>42</v>
      </c>
      <c r="M15" s="19"/>
      <c r="N15" s="19" t="s">
        <v>42</v>
      </c>
      <c r="O15" s="255" t="s">
        <v>42</v>
      </c>
      <c r="P15" s="252">
        <v>45761</v>
      </c>
      <c r="Q15" s="252">
        <v>45761</v>
      </c>
      <c r="R15" s="252">
        <v>45762</v>
      </c>
    </row>
    <row r="16" spans="1:18">
      <c r="A16" s="253" t="s">
        <v>277</v>
      </c>
      <c r="B16" s="253" t="s">
        <v>278</v>
      </c>
      <c r="C16" s="249"/>
      <c r="D16" s="249" t="s">
        <v>41</v>
      </c>
      <c r="E16" s="249"/>
      <c r="F16" s="249" t="s">
        <v>42</v>
      </c>
      <c r="G16" s="249"/>
      <c r="H16" s="249" t="s">
        <v>42</v>
      </c>
      <c r="I16" s="249"/>
      <c r="J16" s="249" t="s">
        <v>42</v>
      </c>
      <c r="K16" s="249">
        <v>19</v>
      </c>
      <c r="L16" s="250">
        <v>152000</v>
      </c>
      <c r="M16" s="249">
        <v>8</v>
      </c>
      <c r="N16" s="250">
        <v>16000</v>
      </c>
      <c r="O16" s="251">
        <v>168000</v>
      </c>
      <c r="P16" s="19"/>
      <c r="Q16" s="19"/>
      <c r="R16" s="252">
        <v>45764</v>
      </c>
    </row>
    <row r="17" spans="1:18">
      <c r="A17" s="2"/>
      <c r="B17" s="2"/>
      <c r="C17" s="2">
        <v>0</v>
      </c>
      <c r="D17" s="2" t="s">
        <v>41</v>
      </c>
      <c r="E17" s="2">
        <v>19</v>
      </c>
      <c r="F17" s="58">
        <v>1425000</v>
      </c>
      <c r="G17" s="2">
        <v>0</v>
      </c>
      <c r="H17" s="2" t="s">
        <v>41</v>
      </c>
      <c r="I17" s="2">
        <v>0</v>
      </c>
      <c r="J17" s="2" t="s">
        <v>41</v>
      </c>
      <c r="K17" s="2">
        <v>19</v>
      </c>
      <c r="L17" s="58">
        <v>152000</v>
      </c>
      <c r="M17" s="2">
        <v>8</v>
      </c>
      <c r="N17" s="58">
        <v>16000</v>
      </c>
      <c r="O17" s="256">
        <v>1593000</v>
      </c>
      <c r="P17" s="2"/>
      <c r="Q17" s="2"/>
      <c r="R17" s="2"/>
    </row>
  </sheetData>
  <mergeCells count="22">
    <mergeCell ref="E3:F3"/>
    <mergeCell ref="C5:D5"/>
    <mergeCell ref="E5:F5"/>
    <mergeCell ref="G5:H5"/>
    <mergeCell ref="I5:J5"/>
    <mergeCell ref="K5:L5"/>
    <mergeCell ref="M5:N5"/>
    <mergeCell ref="G3:H3"/>
    <mergeCell ref="I3:J3"/>
    <mergeCell ref="K3:L3"/>
    <mergeCell ref="C4:H4"/>
    <mergeCell ref="I4:J4"/>
    <mergeCell ref="K4:N4"/>
    <mergeCell ref="D1:D3"/>
    <mergeCell ref="E1:F1"/>
    <mergeCell ref="G1:H1"/>
    <mergeCell ref="I1:J1"/>
    <mergeCell ref="K1:L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FE2A-7FA1-437E-A581-E5280F87EDAD}">
  <dimension ref="A1:AC28"/>
  <sheetViews>
    <sheetView workbookViewId="0">
      <selection activeCell="D3" sqref="D3:H3"/>
    </sheetView>
  </sheetViews>
  <sheetFormatPr baseColWidth="10" defaultRowHeight="15"/>
  <cols>
    <col min="2" max="2" width="40.28515625" bestFit="1" customWidth="1"/>
  </cols>
  <sheetData>
    <row r="1" spans="1:29" s="309" customFormat="1">
      <c r="A1" s="309" t="s">
        <v>335</v>
      </c>
    </row>
    <row r="3" spans="1:29" ht="30">
      <c r="A3" s="257" t="s">
        <v>317</v>
      </c>
      <c r="B3" s="258" t="s">
        <v>318</v>
      </c>
      <c r="C3" s="258" t="s">
        <v>319</v>
      </c>
      <c r="D3" s="258" t="s">
        <v>320</v>
      </c>
      <c r="E3" s="259" t="s">
        <v>321</v>
      </c>
      <c r="F3" s="259" t="s">
        <v>322</v>
      </c>
      <c r="G3" s="258">
        <v>1</v>
      </c>
      <c r="H3" s="258">
        <v>2</v>
      </c>
      <c r="I3" s="258">
        <v>3</v>
      </c>
      <c r="J3" s="260" t="s">
        <v>323</v>
      </c>
      <c r="K3" s="261" t="s">
        <v>324</v>
      </c>
      <c r="L3" s="258" t="s">
        <v>325</v>
      </c>
      <c r="M3" s="262">
        <v>0.05</v>
      </c>
      <c r="N3" s="258" t="s">
        <v>326</v>
      </c>
      <c r="O3" s="257" t="s">
        <v>327</v>
      </c>
      <c r="P3" s="263" t="s">
        <v>328</v>
      </c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</row>
    <row r="4" spans="1:29">
      <c r="A4" s="265" t="s">
        <v>308</v>
      </c>
      <c r="B4" s="265"/>
      <c r="C4" s="281"/>
      <c r="D4" s="282"/>
      <c r="E4" s="283"/>
      <c r="F4" s="267"/>
      <c r="G4" s="268" t="s">
        <v>249</v>
      </c>
      <c r="H4" s="269" t="s">
        <v>249</v>
      </c>
      <c r="I4" s="270"/>
      <c r="J4" s="271">
        <v>422064.3</v>
      </c>
      <c r="K4" s="271">
        <v>401966</v>
      </c>
      <c r="L4" s="272">
        <v>1.05</v>
      </c>
      <c r="M4" s="271">
        <v>20098.3</v>
      </c>
      <c r="N4" s="269"/>
      <c r="O4" s="273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</row>
    <row r="5" spans="1:29">
      <c r="A5" s="265" t="s">
        <v>308</v>
      </c>
      <c r="B5" s="274"/>
      <c r="C5" s="225"/>
      <c r="D5" s="284"/>
      <c r="E5" s="285"/>
      <c r="F5" s="266"/>
      <c r="G5" s="268" t="s">
        <v>249</v>
      </c>
      <c r="H5" s="269" t="s">
        <v>249</v>
      </c>
      <c r="I5" s="270"/>
      <c r="J5" s="271">
        <v>219678.9</v>
      </c>
      <c r="K5" s="271">
        <v>209218</v>
      </c>
      <c r="L5" s="272">
        <v>1.05</v>
      </c>
      <c r="M5" s="271">
        <v>10460.9</v>
      </c>
      <c r="N5" s="269"/>
      <c r="O5" s="273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</row>
    <row r="6" spans="1:29">
      <c r="A6" s="265" t="s">
        <v>308</v>
      </c>
      <c r="B6" s="274" t="s">
        <v>329</v>
      </c>
      <c r="C6" s="274"/>
      <c r="D6" s="225"/>
      <c r="E6" s="283"/>
      <c r="F6" s="275"/>
      <c r="G6" s="268" t="s">
        <v>249</v>
      </c>
      <c r="H6" s="269"/>
      <c r="I6" s="269"/>
      <c r="J6" s="269" t="s">
        <v>41</v>
      </c>
      <c r="K6" s="269"/>
      <c r="L6" s="272">
        <v>1.05</v>
      </c>
      <c r="M6" s="269"/>
      <c r="N6" s="269"/>
      <c r="O6" s="273"/>
      <c r="P6" s="264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</row>
    <row r="7" spans="1:29">
      <c r="A7" s="265" t="s">
        <v>308</v>
      </c>
      <c r="B7" s="274" t="s">
        <v>330</v>
      </c>
      <c r="C7" s="274"/>
      <c r="D7" s="225"/>
      <c r="E7" s="286"/>
      <c r="F7" s="275"/>
      <c r="G7" s="268" t="s">
        <v>249</v>
      </c>
      <c r="H7" s="269"/>
      <c r="I7" s="269"/>
      <c r="J7" s="269" t="s">
        <v>41</v>
      </c>
      <c r="K7" s="269"/>
      <c r="L7" s="272">
        <v>1.05</v>
      </c>
      <c r="M7" s="269" t="s">
        <v>41</v>
      </c>
      <c r="N7" s="269"/>
      <c r="O7" s="273"/>
      <c r="P7" s="264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</row>
    <row r="8" spans="1:29">
      <c r="A8" s="265" t="s">
        <v>308</v>
      </c>
      <c r="B8" s="274" t="s">
        <v>330</v>
      </c>
      <c r="C8" s="274"/>
      <c r="D8" s="274"/>
      <c r="E8" s="283"/>
      <c r="F8" s="267"/>
      <c r="G8" s="268" t="s">
        <v>249</v>
      </c>
      <c r="H8" s="269"/>
      <c r="I8" s="276"/>
      <c r="J8" s="271">
        <v>261502.5</v>
      </c>
      <c r="K8" s="271">
        <v>249050</v>
      </c>
      <c r="L8" s="272">
        <v>1.05</v>
      </c>
      <c r="M8" s="271">
        <v>12452.5</v>
      </c>
      <c r="N8" s="269"/>
      <c r="O8" s="273"/>
      <c r="P8" s="225"/>
      <c r="Q8" s="225"/>
      <c r="R8" s="225"/>
      <c r="S8" s="225"/>
      <c r="T8" s="225"/>
      <c r="U8" s="277">
        <v>1.9E-2</v>
      </c>
      <c r="V8" s="225"/>
      <c r="W8" s="225"/>
      <c r="X8" s="225"/>
      <c r="Y8" s="225"/>
      <c r="Z8" s="225"/>
      <c r="AA8" s="225"/>
      <c r="AB8" s="225"/>
      <c r="AC8" s="225"/>
    </row>
    <row r="9" spans="1:29">
      <c r="A9" s="265" t="s">
        <v>308</v>
      </c>
      <c r="B9" s="274" t="s">
        <v>329</v>
      </c>
      <c r="C9" s="274"/>
      <c r="D9" s="274"/>
      <c r="E9" s="283"/>
      <c r="F9" s="275"/>
      <c r="G9" s="268" t="s">
        <v>249</v>
      </c>
      <c r="H9" s="269"/>
      <c r="I9" s="269"/>
      <c r="J9" s="269" t="s">
        <v>41</v>
      </c>
      <c r="K9" s="269"/>
      <c r="L9" s="272">
        <v>1.05</v>
      </c>
      <c r="M9" s="269"/>
      <c r="N9" s="269"/>
      <c r="O9" s="273"/>
      <c r="P9" s="264"/>
      <c r="Q9" s="225"/>
      <c r="R9" s="225"/>
      <c r="S9" s="225"/>
      <c r="T9" s="225"/>
      <c r="U9" s="277">
        <v>1.9E-2</v>
      </c>
      <c r="V9" s="225"/>
      <c r="W9" s="225"/>
      <c r="X9" s="225"/>
      <c r="Y9" s="225"/>
      <c r="Z9" s="225"/>
      <c r="AA9" s="225"/>
      <c r="AB9" s="225"/>
      <c r="AC9" s="225"/>
    </row>
    <row r="10" spans="1:29">
      <c r="A10" s="265" t="s">
        <v>308</v>
      </c>
      <c r="B10" s="274" t="s">
        <v>329</v>
      </c>
      <c r="C10" s="274"/>
      <c r="D10" s="225"/>
      <c r="E10" s="287"/>
      <c r="F10" s="110"/>
      <c r="G10" s="268" t="s">
        <v>249</v>
      </c>
      <c r="H10" s="269"/>
      <c r="I10" s="269"/>
      <c r="J10" s="271">
        <v>415764.3</v>
      </c>
      <c r="K10" s="271">
        <v>395966</v>
      </c>
      <c r="L10" s="272">
        <v>1.05</v>
      </c>
      <c r="M10" s="269"/>
      <c r="N10" s="269"/>
      <c r="O10" s="273"/>
      <c r="P10" s="264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</row>
    <row r="11" spans="1:29">
      <c r="A11" s="265" t="s">
        <v>331</v>
      </c>
      <c r="B11" s="274" t="s">
        <v>329</v>
      </c>
      <c r="C11" s="281"/>
      <c r="D11" s="282"/>
      <c r="E11" s="288"/>
      <c r="F11" s="267"/>
      <c r="G11" s="268" t="s">
        <v>249</v>
      </c>
      <c r="H11" s="269"/>
      <c r="I11" s="276"/>
      <c r="J11" s="271">
        <v>163800</v>
      </c>
      <c r="K11" s="271">
        <v>156000</v>
      </c>
      <c r="L11" s="272">
        <v>1.05</v>
      </c>
      <c r="M11" s="271">
        <v>7800</v>
      </c>
      <c r="N11" s="269"/>
      <c r="O11" s="273"/>
      <c r="P11" s="225"/>
      <c r="Q11" s="225"/>
      <c r="R11" s="225"/>
      <c r="S11" s="225"/>
      <c r="T11" s="225"/>
      <c r="U11" s="225" t="s">
        <v>332</v>
      </c>
      <c r="V11" s="225"/>
      <c r="W11" s="225"/>
      <c r="X11" s="225"/>
      <c r="Y11" s="225"/>
      <c r="Z11" s="225"/>
      <c r="AA11" s="225"/>
      <c r="AB11" s="225"/>
      <c r="AC11" s="225"/>
    </row>
    <row r="12" spans="1:29">
      <c r="A12" s="265" t="s">
        <v>308</v>
      </c>
      <c r="B12" s="274" t="s">
        <v>329</v>
      </c>
      <c r="C12" s="274"/>
      <c r="D12" s="225"/>
      <c r="E12" s="283"/>
      <c r="F12" s="267"/>
      <c r="G12" s="268" t="s">
        <v>249</v>
      </c>
      <c r="H12" s="269"/>
      <c r="I12" s="269"/>
      <c r="J12" s="269" t="s">
        <v>41</v>
      </c>
      <c r="K12" s="269"/>
      <c r="L12" s="272">
        <v>1.05</v>
      </c>
      <c r="M12" s="269" t="s">
        <v>41</v>
      </c>
      <c r="N12" s="269"/>
      <c r="O12" s="273"/>
      <c r="P12" s="264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</row>
    <row r="13" spans="1:29">
      <c r="A13" s="265" t="s">
        <v>331</v>
      </c>
      <c r="B13" s="274"/>
      <c r="C13" s="274"/>
      <c r="D13" s="282"/>
      <c r="E13" s="288"/>
      <c r="F13" s="278"/>
      <c r="G13" s="268" t="s">
        <v>249</v>
      </c>
      <c r="H13" s="269" t="s">
        <v>249</v>
      </c>
      <c r="I13" s="269"/>
      <c r="J13" s="271">
        <v>145031.25</v>
      </c>
      <c r="K13" s="271">
        <v>138125</v>
      </c>
      <c r="L13" s="272">
        <v>1.05</v>
      </c>
      <c r="M13" s="271">
        <v>6906.25</v>
      </c>
      <c r="N13" s="269"/>
      <c r="O13" s="273"/>
      <c r="P13" s="225"/>
      <c r="Q13" s="225"/>
      <c r="R13" s="225"/>
      <c r="S13" s="225"/>
      <c r="T13" s="225"/>
      <c r="U13" s="225">
        <v>5776</v>
      </c>
      <c r="V13" s="225"/>
      <c r="W13" s="225"/>
      <c r="X13" s="225"/>
      <c r="Y13" s="225"/>
      <c r="Z13" s="225"/>
      <c r="AA13" s="225"/>
      <c r="AB13" s="225"/>
      <c r="AC13" s="225"/>
    </row>
    <row r="14" spans="1:29">
      <c r="A14" s="265" t="s">
        <v>308</v>
      </c>
      <c r="B14" s="274" t="s">
        <v>330</v>
      </c>
      <c r="C14" s="274"/>
      <c r="D14" s="225"/>
      <c r="E14" s="283"/>
      <c r="F14" s="275"/>
      <c r="G14" s="268" t="s">
        <v>249</v>
      </c>
      <c r="H14" s="269"/>
      <c r="I14" s="269"/>
      <c r="J14" s="269" t="s">
        <v>41</v>
      </c>
      <c r="K14" s="269"/>
      <c r="L14" s="272">
        <v>1.05</v>
      </c>
      <c r="M14" s="269" t="s">
        <v>41</v>
      </c>
      <c r="N14" s="269"/>
      <c r="O14" s="273"/>
      <c r="P14" s="264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</row>
    <row r="15" spans="1:29">
      <c r="A15" s="265" t="s">
        <v>308</v>
      </c>
      <c r="B15" s="274" t="s">
        <v>329</v>
      </c>
      <c r="C15" s="274"/>
      <c r="D15" s="225"/>
      <c r="E15" s="283"/>
      <c r="F15" s="275"/>
      <c r="G15" s="268" t="s">
        <v>249</v>
      </c>
      <c r="H15" s="269"/>
      <c r="I15" s="269"/>
      <c r="J15" s="269" t="s">
        <v>41</v>
      </c>
      <c r="K15" s="269"/>
      <c r="L15" s="272">
        <v>1.05</v>
      </c>
      <c r="M15" s="269"/>
      <c r="N15" s="269"/>
      <c r="O15" s="273"/>
      <c r="P15" s="264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</row>
    <row r="16" spans="1:29">
      <c r="A16" s="265" t="s">
        <v>308</v>
      </c>
      <c r="B16" s="274" t="s">
        <v>329</v>
      </c>
      <c r="C16" s="274"/>
      <c r="D16" s="225"/>
      <c r="E16" s="283"/>
      <c r="F16" s="267"/>
      <c r="G16" s="268" t="s">
        <v>249</v>
      </c>
      <c r="H16" s="269"/>
      <c r="I16" s="269"/>
      <c r="J16" s="271">
        <v>142800</v>
      </c>
      <c r="K16" s="271">
        <v>136000</v>
      </c>
      <c r="L16" s="272">
        <v>1.05</v>
      </c>
      <c r="M16" s="271">
        <v>6800</v>
      </c>
      <c r="N16" s="269"/>
      <c r="O16" s="273"/>
      <c r="P16" s="264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</row>
    <row r="17" spans="1:29">
      <c r="A17" s="265" t="s">
        <v>308</v>
      </c>
      <c r="B17" s="274" t="s">
        <v>329</v>
      </c>
      <c r="C17" s="274"/>
      <c r="D17" s="289"/>
      <c r="E17" s="286"/>
      <c r="F17" s="267"/>
      <c r="G17" s="268" t="s">
        <v>249</v>
      </c>
      <c r="H17" s="269"/>
      <c r="I17" s="269"/>
      <c r="J17" s="269" t="s">
        <v>41</v>
      </c>
      <c r="K17" s="269"/>
      <c r="L17" s="272">
        <v>1.05</v>
      </c>
      <c r="M17" s="269" t="s">
        <v>41</v>
      </c>
      <c r="N17" s="269"/>
      <c r="O17" s="273"/>
      <c r="P17" s="264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</row>
    <row r="18" spans="1:29">
      <c r="A18" s="265" t="s">
        <v>308</v>
      </c>
      <c r="B18" s="274" t="s">
        <v>329</v>
      </c>
      <c r="C18" s="281"/>
      <c r="D18" s="125"/>
      <c r="E18" s="283"/>
      <c r="F18" s="267"/>
      <c r="G18" s="268" t="s">
        <v>249</v>
      </c>
      <c r="H18" s="269"/>
      <c r="I18" s="276"/>
      <c r="J18" s="271">
        <v>437814.3</v>
      </c>
      <c r="K18" s="271">
        <v>416966</v>
      </c>
      <c r="L18" s="272">
        <v>1.05</v>
      </c>
      <c r="M18" s="271">
        <v>20848.3</v>
      </c>
      <c r="N18" s="269"/>
      <c r="O18" s="273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</row>
    <row r="19" spans="1:29">
      <c r="A19" s="265" t="s">
        <v>308</v>
      </c>
      <c r="B19" s="274" t="s">
        <v>330</v>
      </c>
      <c r="C19" s="274"/>
      <c r="D19" s="290"/>
      <c r="E19" s="287"/>
      <c r="F19" s="267"/>
      <c r="G19" s="268" t="s">
        <v>249</v>
      </c>
      <c r="H19" s="269"/>
      <c r="I19" s="276"/>
      <c r="J19" s="271">
        <v>261502.5</v>
      </c>
      <c r="K19" s="271">
        <v>249050</v>
      </c>
      <c r="L19" s="272">
        <v>1.05</v>
      </c>
      <c r="M19" s="271">
        <v>12452.5</v>
      </c>
      <c r="N19" s="269"/>
      <c r="O19" s="273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</row>
    <row r="20" spans="1:29">
      <c r="A20" s="265" t="s">
        <v>308</v>
      </c>
      <c r="B20" s="274" t="s">
        <v>336</v>
      </c>
      <c r="C20" s="225"/>
      <c r="D20" s="291"/>
      <c r="E20" s="285"/>
      <c r="F20" s="275"/>
      <c r="G20" s="268" t="s">
        <v>249</v>
      </c>
      <c r="H20" s="269" t="s">
        <v>249</v>
      </c>
      <c r="I20" s="269"/>
      <c r="J20" s="271">
        <v>214200</v>
      </c>
      <c r="K20" s="271">
        <v>204000</v>
      </c>
      <c r="L20" s="272">
        <v>1.05</v>
      </c>
      <c r="M20" s="271">
        <v>10200</v>
      </c>
      <c r="N20" s="269"/>
      <c r="O20" s="273"/>
      <c r="P20" s="264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</row>
    <row r="21" spans="1:29">
      <c r="A21" s="265" t="s">
        <v>308</v>
      </c>
      <c r="B21" s="279"/>
      <c r="C21" s="281"/>
      <c r="D21" s="292"/>
      <c r="E21" s="286"/>
      <c r="F21" s="267"/>
      <c r="G21" s="268" t="s">
        <v>249</v>
      </c>
      <c r="H21" s="269"/>
      <c r="I21" s="276"/>
      <c r="J21" s="271">
        <v>437814.3</v>
      </c>
      <c r="K21" s="271">
        <v>416966</v>
      </c>
      <c r="L21" s="272">
        <v>1.05</v>
      </c>
      <c r="M21" s="271">
        <v>20848.3</v>
      </c>
      <c r="N21" s="269"/>
      <c r="O21" s="273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</row>
    <row r="22" spans="1:29">
      <c r="A22" s="265" t="s">
        <v>308</v>
      </c>
      <c r="B22" s="225"/>
      <c r="C22" s="293"/>
      <c r="D22" s="274"/>
      <c r="E22" s="283"/>
      <c r="F22" s="275"/>
      <c r="G22" s="268" t="s">
        <v>249</v>
      </c>
      <c r="H22" s="269"/>
      <c r="I22" s="269"/>
      <c r="J22" s="269" t="s">
        <v>41</v>
      </c>
      <c r="K22" s="269"/>
      <c r="L22" s="272">
        <v>1.05</v>
      </c>
      <c r="M22" s="269" t="s">
        <v>41</v>
      </c>
      <c r="N22" s="269"/>
      <c r="O22" s="273"/>
      <c r="P22" s="264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</row>
    <row r="23" spans="1:29">
      <c r="A23" s="265" t="s">
        <v>308</v>
      </c>
      <c r="B23" s="225" t="s">
        <v>337</v>
      </c>
      <c r="C23" s="293"/>
      <c r="D23" s="225"/>
      <c r="E23" s="287"/>
      <c r="F23" s="275"/>
      <c r="G23" s="268" t="s">
        <v>249</v>
      </c>
      <c r="H23" s="269"/>
      <c r="I23" s="269"/>
      <c r="J23" s="269" t="s">
        <v>41</v>
      </c>
      <c r="K23" s="269"/>
      <c r="L23" s="272">
        <v>1.05</v>
      </c>
      <c r="M23" s="269" t="s">
        <v>41</v>
      </c>
      <c r="N23" s="269"/>
      <c r="O23" s="273"/>
      <c r="P23" s="264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</row>
    <row r="24" spans="1:29">
      <c r="A24" s="265" t="s">
        <v>308</v>
      </c>
      <c r="B24" s="280"/>
      <c r="C24" s="274"/>
      <c r="D24" s="225"/>
      <c r="E24" s="283"/>
      <c r="F24" s="267"/>
      <c r="G24" s="268" t="s">
        <v>249</v>
      </c>
      <c r="H24" s="269"/>
      <c r="I24" s="269"/>
      <c r="J24" s="271">
        <v>272178.90000000002</v>
      </c>
      <c r="K24" s="271">
        <v>259218</v>
      </c>
      <c r="L24" s="272">
        <v>1.05</v>
      </c>
      <c r="M24" s="271">
        <v>12960.9</v>
      </c>
      <c r="N24" s="269"/>
      <c r="O24" s="273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</row>
    <row r="25" spans="1:29">
      <c r="A25" s="265" t="s">
        <v>308</v>
      </c>
      <c r="B25" s="274"/>
      <c r="C25" s="274"/>
      <c r="D25" s="282"/>
      <c r="E25" s="283"/>
      <c r="F25" s="267"/>
      <c r="G25" s="268" t="s">
        <v>249</v>
      </c>
      <c r="H25" s="269"/>
      <c r="I25" s="276"/>
      <c r="J25" s="271">
        <v>178500</v>
      </c>
      <c r="K25" s="271">
        <v>170000</v>
      </c>
      <c r="L25" s="272">
        <v>1.05</v>
      </c>
      <c r="M25" s="271">
        <v>8500</v>
      </c>
      <c r="N25" s="269"/>
      <c r="O25" s="273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</row>
    <row r="26" spans="1:29">
      <c r="A26" s="265" t="s">
        <v>333</v>
      </c>
      <c r="B26" s="280"/>
      <c r="C26" s="274"/>
      <c r="D26" s="225"/>
      <c r="E26" s="294"/>
      <c r="F26" s="275"/>
      <c r="G26" s="268" t="s">
        <v>249</v>
      </c>
      <c r="H26" s="269"/>
      <c r="I26" s="269"/>
      <c r="J26" s="269" t="s">
        <v>41</v>
      </c>
      <c r="K26" s="269"/>
      <c r="L26" s="272">
        <v>1.05</v>
      </c>
      <c r="M26" s="269"/>
      <c r="N26" s="269"/>
      <c r="O26" s="273"/>
      <c r="P26" s="264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</row>
    <row r="27" spans="1:29">
      <c r="A27" s="265" t="s">
        <v>308</v>
      </c>
      <c r="B27" s="279"/>
      <c r="C27" s="274"/>
      <c r="D27" s="295"/>
      <c r="E27" s="283"/>
      <c r="F27" s="267"/>
      <c r="G27" s="268" t="s">
        <v>249</v>
      </c>
      <c r="H27" s="269"/>
      <c r="I27" s="276"/>
      <c r="J27" s="271">
        <v>272177.84999999998</v>
      </c>
      <c r="K27" s="271">
        <v>259217</v>
      </c>
      <c r="L27" s="272">
        <v>1.05</v>
      </c>
      <c r="M27" s="271">
        <v>12960.85</v>
      </c>
      <c r="N27" s="269"/>
      <c r="O27" s="273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</row>
    <row r="28" spans="1:29">
      <c r="A28" s="265" t="s">
        <v>331</v>
      </c>
      <c r="B28" s="274" t="s">
        <v>334</v>
      </c>
      <c r="C28" s="225"/>
      <c r="D28" s="280"/>
      <c r="E28" s="288"/>
      <c r="F28" s="275"/>
      <c r="G28" s="268"/>
      <c r="H28" s="269"/>
      <c r="I28" s="269"/>
      <c r="J28" s="269" t="s">
        <v>41</v>
      </c>
      <c r="K28" s="269"/>
      <c r="L28" s="272">
        <v>1.05</v>
      </c>
      <c r="M28" s="269" t="s">
        <v>41</v>
      </c>
      <c r="N28" s="269"/>
      <c r="O28" s="273"/>
      <c r="P28" s="264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A108-4065-4197-92A8-FF7199A69A2D}">
  <dimension ref="A2:T22"/>
  <sheetViews>
    <sheetView topLeftCell="A4" workbookViewId="0">
      <selection sqref="A1:C4"/>
    </sheetView>
  </sheetViews>
  <sheetFormatPr baseColWidth="10" defaultRowHeight="15"/>
  <sheetData>
    <row r="2" spans="1:20">
      <c r="A2" t="s">
        <v>458</v>
      </c>
    </row>
    <row r="4" spans="1:20" ht="15.75" thickBot="1"/>
    <row r="5" spans="1:20" ht="27" thickBot="1">
      <c r="A5" s="379" t="s">
        <v>432</v>
      </c>
      <c r="B5" s="380" t="s">
        <v>319</v>
      </c>
      <c r="C5" s="380" t="s">
        <v>320</v>
      </c>
      <c r="D5" s="380" t="s">
        <v>433</v>
      </c>
      <c r="E5" s="380" t="s">
        <v>434</v>
      </c>
      <c r="F5" s="380" t="s">
        <v>435</v>
      </c>
      <c r="G5" s="380" t="s">
        <v>436</v>
      </c>
      <c r="H5" s="380" t="s">
        <v>437</v>
      </c>
      <c r="I5" s="380" t="s">
        <v>317</v>
      </c>
      <c r="J5" s="380" t="s">
        <v>438</v>
      </c>
      <c r="K5" s="380" t="s">
        <v>439</v>
      </c>
      <c r="L5" s="381" t="s">
        <v>440</v>
      </c>
      <c r="M5" s="381" t="s">
        <v>441</v>
      </c>
      <c r="N5" s="381" t="s">
        <v>442</v>
      </c>
      <c r="O5" s="381" t="s">
        <v>443</v>
      </c>
      <c r="P5" s="381" t="s">
        <v>444</v>
      </c>
      <c r="Q5" s="381" t="s">
        <v>445</v>
      </c>
      <c r="R5" s="382" t="s">
        <v>446</v>
      </c>
      <c r="S5" s="382" t="s">
        <v>447</v>
      </c>
      <c r="T5" s="382" t="s">
        <v>448</v>
      </c>
    </row>
    <row r="6" spans="1:20" ht="15.75" thickBot="1">
      <c r="A6" s="383">
        <v>45386</v>
      </c>
      <c r="B6" s="384"/>
      <c r="C6" s="384"/>
      <c r="D6" s="384"/>
      <c r="E6" s="384"/>
      <c r="F6" s="385"/>
      <c r="G6" s="384"/>
      <c r="H6" s="384"/>
      <c r="I6" s="384" t="s">
        <v>449</v>
      </c>
      <c r="J6" s="384"/>
      <c r="K6" s="386"/>
      <c r="L6" s="387"/>
      <c r="M6" s="387"/>
      <c r="N6" s="387"/>
      <c r="O6" s="387"/>
      <c r="P6" s="387"/>
      <c r="Q6" s="387"/>
      <c r="R6" s="388"/>
      <c r="S6" s="388"/>
      <c r="T6" s="388"/>
    </row>
    <row r="7" spans="1:20" ht="27" thickBot="1">
      <c r="A7" s="383">
        <v>45491</v>
      </c>
      <c r="B7" s="384"/>
      <c r="C7" s="384"/>
      <c r="D7" s="384"/>
      <c r="E7" s="384"/>
      <c r="F7" s="385"/>
      <c r="G7" s="384"/>
      <c r="H7" s="384"/>
      <c r="I7" s="389" t="s">
        <v>450</v>
      </c>
      <c r="J7" s="389" t="s">
        <v>451</v>
      </c>
      <c r="K7" s="390"/>
      <c r="L7" s="387"/>
      <c r="M7" s="391" t="s">
        <v>249</v>
      </c>
      <c r="N7" s="387"/>
      <c r="O7" s="387"/>
      <c r="P7" s="387"/>
      <c r="Q7" s="387"/>
      <c r="R7" s="388" t="s">
        <v>452</v>
      </c>
      <c r="S7" s="388" t="s">
        <v>453</v>
      </c>
      <c r="T7" s="388"/>
    </row>
    <row r="8" spans="1:20" ht="27" thickBot="1">
      <c r="A8" s="383">
        <v>45496</v>
      </c>
      <c r="B8" s="384"/>
      <c r="C8" s="384"/>
      <c r="D8" s="384"/>
      <c r="E8" s="384"/>
      <c r="F8" s="385"/>
      <c r="G8" s="384"/>
      <c r="H8" s="384"/>
      <c r="I8" s="389" t="s">
        <v>450</v>
      </c>
      <c r="J8" s="389" t="s">
        <v>451</v>
      </c>
      <c r="K8" s="386"/>
      <c r="L8" s="387"/>
      <c r="M8" s="391" t="s">
        <v>249</v>
      </c>
      <c r="N8" s="387"/>
      <c r="O8" s="387"/>
      <c r="P8" s="387"/>
      <c r="Q8" s="387"/>
      <c r="R8" s="388" t="s">
        <v>452</v>
      </c>
      <c r="S8" s="388" t="s">
        <v>250</v>
      </c>
      <c r="T8" s="388"/>
    </row>
    <row r="9" spans="1:20" ht="27" thickBot="1">
      <c r="A9" s="383">
        <v>45499</v>
      </c>
      <c r="B9" s="384"/>
      <c r="C9" s="384"/>
      <c r="D9" s="384"/>
      <c r="E9" s="384"/>
      <c r="F9" s="385"/>
      <c r="G9" s="384"/>
      <c r="H9" s="385"/>
      <c r="I9" s="389" t="s">
        <v>450</v>
      </c>
      <c r="J9" s="389" t="s">
        <v>451</v>
      </c>
      <c r="K9" s="390"/>
      <c r="L9" s="387"/>
      <c r="M9" s="391" t="s">
        <v>249</v>
      </c>
      <c r="N9" s="387"/>
      <c r="O9" s="387"/>
      <c r="P9" s="387"/>
      <c r="Q9" s="387"/>
      <c r="R9" s="388" t="s">
        <v>452</v>
      </c>
      <c r="S9" s="388" t="s">
        <v>250</v>
      </c>
      <c r="T9" s="388"/>
    </row>
    <row r="10" spans="1:20" ht="27" thickBot="1">
      <c r="A10" s="383">
        <v>45524</v>
      </c>
      <c r="B10" s="384"/>
      <c r="C10" s="384"/>
      <c r="D10" s="384"/>
      <c r="E10" s="384"/>
      <c r="F10" s="385"/>
      <c r="G10" s="384"/>
      <c r="H10" s="385"/>
      <c r="I10" s="389" t="s">
        <v>450</v>
      </c>
      <c r="J10" s="389" t="s">
        <v>451</v>
      </c>
      <c r="K10" s="386"/>
      <c r="L10" s="387"/>
      <c r="M10" s="391" t="s">
        <v>249</v>
      </c>
      <c r="N10" s="387"/>
      <c r="O10" s="387"/>
      <c r="P10" s="387"/>
      <c r="Q10" s="387"/>
      <c r="R10" s="388" t="s">
        <v>452</v>
      </c>
      <c r="S10" s="388"/>
      <c r="T10" s="388"/>
    </row>
    <row r="11" spans="1:20" ht="27" thickBot="1">
      <c r="A11" s="383">
        <v>45537</v>
      </c>
      <c r="B11" s="384"/>
      <c r="C11" s="384"/>
      <c r="D11" s="384"/>
      <c r="E11" s="384"/>
      <c r="F11" s="385"/>
      <c r="G11" s="384"/>
      <c r="H11" s="385"/>
      <c r="I11" s="389" t="s">
        <v>454</v>
      </c>
      <c r="J11" s="389" t="s">
        <v>451</v>
      </c>
      <c r="K11" s="390"/>
      <c r="L11" s="387"/>
      <c r="M11" s="391" t="s">
        <v>249</v>
      </c>
      <c r="N11" s="387"/>
      <c r="O11" s="387"/>
      <c r="P11" s="387"/>
      <c r="Q11" s="387"/>
      <c r="R11" s="388" t="s">
        <v>452</v>
      </c>
      <c r="S11" s="388" t="s">
        <v>250</v>
      </c>
      <c r="T11" s="388"/>
    </row>
    <row r="12" spans="1:20" ht="27" thickBot="1">
      <c r="A12" s="383">
        <v>45558</v>
      </c>
      <c r="B12" s="384"/>
      <c r="C12" s="384"/>
      <c r="D12" s="384"/>
      <c r="E12" s="384"/>
      <c r="F12" s="385"/>
      <c r="G12" s="384"/>
      <c r="H12" s="385"/>
      <c r="I12" s="384" t="s">
        <v>454</v>
      </c>
      <c r="J12" s="384" t="s">
        <v>455</v>
      </c>
      <c r="K12" s="386"/>
      <c r="L12" s="387"/>
      <c r="M12" s="391" t="s">
        <v>249</v>
      </c>
      <c r="N12" s="387"/>
      <c r="O12" s="387"/>
      <c r="P12" s="387"/>
      <c r="Q12" s="387"/>
      <c r="R12" s="388" t="s">
        <v>452</v>
      </c>
      <c r="S12" s="388"/>
      <c r="T12" s="388"/>
    </row>
    <row r="13" spans="1:20" ht="27" thickBot="1">
      <c r="A13" s="383">
        <v>45559</v>
      </c>
      <c r="B13" s="384"/>
      <c r="C13" s="384"/>
      <c r="D13" s="384"/>
      <c r="E13" s="384"/>
      <c r="F13" s="385"/>
      <c r="G13" s="384"/>
      <c r="H13" s="385"/>
      <c r="I13" s="389" t="s">
        <v>450</v>
      </c>
      <c r="J13" s="389" t="s">
        <v>451</v>
      </c>
      <c r="K13" s="390"/>
      <c r="L13" s="387"/>
      <c r="M13" s="391" t="s">
        <v>249</v>
      </c>
      <c r="N13" s="387"/>
      <c r="O13" s="387"/>
      <c r="P13" s="387"/>
      <c r="Q13" s="387"/>
      <c r="R13" s="388" t="s">
        <v>452</v>
      </c>
      <c r="S13" s="388"/>
      <c r="T13" s="388"/>
    </row>
    <row r="14" spans="1:20" ht="27" thickBot="1">
      <c r="A14" s="383">
        <v>45586</v>
      </c>
      <c r="B14" s="384"/>
      <c r="C14" s="384"/>
      <c r="D14" s="384"/>
      <c r="E14" s="384"/>
      <c r="F14" s="385"/>
      <c r="G14" s="384"/>
      <c r="H14" s="385"/>
      <c r="I14" s="389" t="s">
        <v>454</v>
      </c>
      <c r="J14" s="389" t="s">
        <v>451</v>
      </c>
      <c r="K14" s="386"/>
      <c r="L14" s="387"/>
      <c r="M14" s="391" t="s">
        <v>249</v>
      </c>
      <c r="N14" s="387"/>
      <c r="O14" s="387"/>
      <c r="P14" s="387"/>
      <c r="Q14" s="387"/>
      <c r="R14" s="388" t="s">
        <v>452</v>
      </c>
      <c r="S14" s="388"/>
      <c r="T14" s="388"/>
    </row>
    <row r="15" spans="1:20" ht="15.75" thickBot="1">
      <c r="A15" s="383">
        <v>45602</v>
      </c>
      <c r="B15" s="392"/>
      <c r="C15" s="392"/>
      <c r="D15" s="384"/>
      <c r="E15" s="384"/>
      <c r="F15" s="385"/>
      <c r="G15" s="384"/>
      <c r="H15" s="385"/>
      <c r="I15" s="384" t="s">
        <v>449</v>
      </c>
      <c r="J15" s="384"/>
      <c r="K15" s="390"/>
      <c r="L15" s="387"/>
      <c r="M15" s="391" t="s">
        <v>249</v>
      </c>
      <c r="N15" s="387" t="s">
        <v>249</v>
      </c>
      <c r="O15" s="387"/>
      <c r="P15" s="387"/>
      <c r="Q15" s="387"/>
      <c r="R15" s="388" t="s">
        <v>452</v>
      </c>
      <c r="S15" s="388" t="s">
        <v>250</v>
      </c>
      <c r="T15" s="388"/>
    </row>
    <row r="16" spans="1:20" ht="27" thickBot="1">
      <c r="A16" s="383">
        <v>45603</v>
      </c>
      <c r="B16" s="384"/>
      <c r="C16" s="384"/>
      <c r="D16" s="384"/>
      <c r="E16" s="384"/>
      <c r="F16" s="385"/>
      <c r="G16" s="384"/>
      <c r="H16" s="385"/>
      <c r="I16" s="384" t="s">
        <v>454</v>
      </c>
      <c r="J16" s="384" t="s">
        <v>456</v>
      </c>
      <c r="K16" s="386"/>
      <c r="L16" s="387"/>
      <c r="M16" s="387"/>
      <c r="N16" s="387"/>
      <c r="O16" s="387"/>
      <c r="P16" s="387"/>
      <c r="Q16" s="387"/>
      <c r="R16" s="388" t="s">
        <v>452</v>
      </c>
      <c r="S16" s="388"/>
      <c r="T16" s="388"/>
    </row>
    <row r="17" spans="1:20" ht="27" thickBot="1">
      <c r="A17" s="383">
        <v>45603</v>
      </c>
      <c r="B17" s="384"/>
      <c r="C17" s="384"/>
      <c r="D17" s="384"/>
      <c r="E17" s="384"/>
      <c r="F17" s="385"/>
      <c r="G17" s="384"/>
      <c r="H17" s="385"/>
      <c r="I17" s="384" t="s">
        <v>454</v>
      </c>
      <c r="J17" s="384" t="s">
        <v>456</v>
      </c>
      <c r="K17" s="390"/>
      <c r="L17" s="387"/>
      <c r="M17" s="391" t="s">
        <v>249</v>
      </c>
      <c r="N17" s="387"/>
      <c r="O17" s="387"/>
      <c r="P17" s="387"/>
      <c r="Q17" s="387"/>
      <c r="R17" s="393">
        <v>46274</v>
      </c>
      <c r="S17" s="388"/>
      <c r="T17" s="388"/>
    </row>
    <row r="18" spans="1:20" ht="27" thickBot="1">
      <c r="A18" s="383">
        <v>45623</v>
      </c>
      <c r="B18" s="384"/>
      <c r="C18" s="384"/>
      <c r="D18" s="384"/>
      <c r="E18" s="384"/>
      <c r="F18" s="385"/>
      <c r="G18" s="384"/>
      <c r="H18" s="385"/>
      <c r="I18" s="389" t="s">
        <v>454</v>
      </c>
      <c r="J18" s="389" t="s">
        <v>451</v>
      </c>
      <c r="K18" s="386"/>
      <c r="L18" s="387"/>
      <c r="M18" s="391" t="s">
        <v>249</v>
      </c>
      <c r="N18" s="387"/>
      <c r="O18" s="387"/>
      <c r="P18" s="387"/>
      <c r="Q18" s="387"/>
      <c r="R18" s="388" t="s">
        <v>452</v>
      </c>
      <c r="S18" s="388" t="s">
        <v>453</v>
      </c>
      <c r="T18" s="388"/>
    </row>
    <row r="19" spans="1:20" ht="27" thickBot="1">
      <c r="A19" s="383">
        <v>45664</v>
      </c>
      <c r="B19" s="384"/>
      <c r="C19" s="384"/>
      <c r="D19" s="384"/>
      <c r="E19" s="384"/>
      <c r="F19" s="385"/>
      <c r="G19" s="384"/>
      <c r="H19" s="384"/>
      <c r="I19" s="389" t="s">
        <v>450</v>
      </c>
      <c r="J19" s="389" t="s">
        <v>451</v>
      </c>
      <c r="K19" s="390"/>
      <c r="L19" s="387"/>
      <c r="M19" s="391" t="s">
        <v>249</v>
      </c>
      <c r="N19" s="387"/>
      <c r="O19" s="387"/>
      <c r="P19" s="387"/>
      <c r="Q19" s="387"/>
      <c r="R19" s="393">
        <v>46288</v>
      </c>
      <c r="S19" s="388"/>
      <c r="T19" s="388"/>
    </row>
    <row r="20" spans="1:20" ht="27" thickBot="1">
      <c r="A20" s="383">
        <v>45679</v>
      </c>
      <c r="B20" s="384"/>
      <c r="C20" s="384"/>
      <c r="D20" s="384"/>
      <c r="E20" s="384"/>
      <c r="F20" s="385"/>
      <c r="G20" s="384"/>
      <c r="H20" s="385"/>
      <c r="I20" s="389" t="s">
        <v>454</v>
      </c>
      <c r="J20" s="389" t="s">
        <v>451</v>
      </c>
      <c r="K20" s="386"/>
      <c r="L20" s="387"/>
      <c r="M20" s="391" t="s">
        <v>249</v>
      </c>
      <c r="N20" s="387"/>
      <c r="O20" s="387"/>
      <c r="P20" s="387"/>
      <c r="Q20" s="387"/>
      <c r="R20" s="388" t="s">
        <v>452</v>
      </c>
      <c r="S20" s="388"/>
      <c r="T20" s="388"/>
    </row>
    <row r="21" spans="1:20" ht="15.75" thickBot="1">
      <c r="A21" s="394">
        <v>45694</v>
      </c>
      <c r="B21" s="395"/>
      <c r="C21" s="395"/>
      <c r="D21" s="396"/>
      <c r="E21" s="396"/>
      <c r="F21" s="397"/>
      <c r="G21" s="396"/>
      <c r="H21" s="397"/>
      <c r="I21" s="398" t="s">
        <v>457</v>
      </c>
      <c r="J21" s="396"/>
      <c r="K21" s="399"/>
      <c r="L21" s="400"/>
      <c r="M21" s="400"/>
      <c r="N21" s="400"/>
      <c r="O21" s="400"/>
      <c r="P21" s="400"/>
      <c r="Q21" s="400"/>
      <c r="R21" s="401" t="s">
        <v>452</v>
      </c>
      <c r="S21" s="401" t="s">
        <v>250</v>
      </c>
      <c r="T21" s="401"/>
    </row>
    <row r="22" spans="1:20" ht="15.75" thickTop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EF3C-4E43-4D3C-9480-EC85BAA907B8}">
  <dimension ref="A1:M11"/>
  <sheetViews>
    <sheetView topLeftCell="A7" workbookViewId="0">
      <selection activeCell="Q9" sqref="Q9"/>
    </sheetView>
  </sheetViews>
  <sheetFormatPr baseColWidth="10" defaultRowHeight="15"/>
  <cols>
    <col min="1" max="1" width="15.28515625" bestFit="1" customWidth="1"/>
    <col min="4" max="4" width="33.85546875" customWidth="1"/>
    <col min="6" max="6" width="34.5703125" customWidth="1"/>
    <col min="12" max="12" width="28.42578125" customWidth="1"/>
  </cols>
  <sheetData>
    <row r="1" spans="1:13" ht="27" thickBot="1">
      <c r="A1" s="415" t="s">
        <v>432</v>
      </c>
      <c r="B1" s="415" t="s">
        <v>459</v>
      </c>
      <c r="C1" s="415" t="s">
        <v>460</v>
      </c>
      <c r="D1" s="415" t="s">
        <v>321</v>
      </c>
      <c r="E1" s="415" t="s">
        <v>461</v>
      </c>
      <c r="F1" s="415" t="s">
        <v>462</v>
      </c>
      <c r="G1" s="416" t="s">
        <v>463</v>
      </c>
      <c r="H1" s="416" t="s">
        <v>464</v>
      </c>
      <c r="I1" s="416" t="s">
        <v>465</v>
      </c>
      <c r="J1" s="416" t="s">
        <v>442</v>
      </c>
      <c r="K1" s="416" t="s">
        <v>466</v>
      </c>
      <c r="L1" s="416" t="s">
        <v>467</v>
      </c>
      <c r="M1" s="416" t="s">
        <v>445</v>
      </c>
    </row>
    <row r="2" spans="1:13" ht="27" thickBot="1">
      <c r="A2" s="417">
        <v>46014.714675925927</v>
      </c>
      <c r="B2" s="389" t="s">
        <v>468</v>
      </c>
      <c r="C2" s="389" t="s">
        <v>469</v>
      </c>
      <c r="D2" s="389" t="s">
        <v>470</v>
      </c>
      <c r="E2" s="418">
        <v>3863504486</v>
      </c>
      <c r="F2" s="389" t="s">
        <v>471</v>
      </c>
      <c r="G2" s="419">
        <v>708000</v>
      </c>
      <c r="H2" s="420" t="s">
        <v>472</v>
      </c>
      <c r="I2" s="419">
        <v>531000</v>
      </c>
      <c r="J2" s="420" t="s">
        <v>452</v>
      </c>
      <c r="K2" s="419">
        <v>531000</v>
      </c>
      <c r="L2" s="421" t="s">
        <v>473</v>
      </c>
      <c r="M2" s="421" t="s">
        <v>474</v>
      </c>
    </row>
    <row r="3" spans="1:13" ht="27" thickBot="1">
      <c r="A3" s="417">
        <v>46021.612280092595</v>
      </c>
      <c r="B3" s="389" t="s">
        <v>475</v>
      </c>
      <c r="C3" s="389" t="s">
        <v>476</v>
      </c>
      <c r="D3" s="389" t="s">
        <v>477</v>
      </c>
      <c r="E3" s="418">
        <v>3865576122</v>
      </c>
      <c r="F3" s="389" t="s">
        <v>471</v>
      </c>
      <c r="G3" s="419">
        <v>708000</v>
      </c>
      <c r="H3" s="420" t="s">
        <v>472</v>
      </c>
      <c r="I3" s="419">
        <v>531000</v>
      </c>
      <c r="J3" s="420" t="s">
        <v>452</v>
      </c>
      <c r="K3" s="419">
        <v>531000</v>
      </c>
      <c r="L3" s="421" t="s">
        <v>473</v>
      </c>
      <c r="M3" s="421" t="s">
        <v>474</v>
      </c>
    </row>
    <row r="4" spans="1:13" ht="27" thickBot="1">
      <c r="A4" s="422">
        <v>45993.54965277778</v>
      </c>
      <c r="B4" s="423" t="s">
        <v>478</v>
      </c>
      <c r="C4" s="423" t="s">
        <v>479</v>
      </c>
      <c r="D4" s="423" t="s">
        <v>480</v>
      </c>
      <c r="E4" s="424">
        <v>2984356024</v>
      </c>
      <c r="F4" s="423" t="s">
        <v>481</v>
      </c>
      <c r="G4" s="419">
        <v>1020000</v>
      </c>
      <c r="H4" s="420" t="s">
        <v>482</v>
      </c>
      <c r="I4" s="419">
        <v>765000</v>
      </c>
      <c r="J4" s="420" t="s">
        <v>452</v>
      </c>
      <c r="K4" s="419">
        <v>765000</v>
      </c>
      <c r="L4" s="421" t="s">
        <v>483</v>
      </c>
      <c r="M4" s="421" t="s">
        <v>474</v>
      </c>
    </row>
    <row r="5" spans="1:13" ht="27" thickBot="1">
      <c r="A5" s="422">
        <v>45993.697337962964</v>
      </c>
      <c r="B5" s="423" t="s">
        <v>484</v>
      </c>
      <c r="C5" s="423" t="s">
        <v>485</v>
      </c>
      <c r="D5" s="423" t="s">
        <v>486</v>
      </c>
      <c r="E5" s="424">
        <v>2477302505</v>
      </c>
      <c r="F5" s="423" t="s">
        <v>481</v>
      </c>
      <c r="G5" s="419">
        <v>1020000</v>
      </c>
      <c r="H5" s="420" t="s">
        <v>482</v>
      </c>
      <c r="I5" s="419">
        <v>765000</v>
      </c>
      <c r="J5" s="420" t="s">
        <v>452</v>
      </c>
      <c r="K5" s="419">
        <v>765000</v>
      </c>
      <c r="L5" s="421" t="s">
        <v>483</v>
      </c>
      <c r="M5" s="421" t="s">
        <v>474</v>
      </c>
    </row>
    <row r="6" spans="1:13" ht="27" thickBot="1">
      <c r="A6" s="422">
        <v>46003.624120370368</v>
      </c>
      <c r="B6" s="423" t="s">
        <v>487</v>
      </c>
      <c r="C6" s="423" t="s">
        <v>488</v>
      </c>
      <c r="D6" s="423" t="s">
        <v>489</v>
      </c>
      <c r="E6" s="424">
        <v>3438407424</v>
      </c>
      <c r="F6" s="423" t="s">
        <v>481</v>
      </c>
      <c r="G6" s="419">
        <v>1020000</v>
      </c>
      <c r="H6" s="420" t="s">
        <v>482</v>
      </c>
      <c r="I6" s="419">
        <v>765000</v>
      </c>
      <c r="J6" s="420" t="s">
        <v>452</v>
      </c>
      <c r="K6" s="419">
        <v>765000</v>
      </c>
      <c r="L6" s="421" t="s">
        <v>483</v>
      </c>
      <c r="M6" s="421" t="s">
        <v>474</v>
      </c>
    </row>
    <row r="7" spans="1:13" ht="27" thickBot="1">
      <c r="A7" s="425">
        <v>46020.454016203701</v>
      </c>
      <c r="B7" s="426" t="s">
        <v>490</v>
      </c>
      <c r="C7" s="426" t="s">
        <v>491</v>
      </c>
      <c r="D7" s="426" t="s">
        <v>492</v>
      </c>
      <c r="E7" s="427">
        <v>3835483368</v>
      </c>
      <c r="F7" s="426" t="s">
        <v>493</v>
      </c>
      <c r="G7" s="419">
        <v>812500</v>
      </c>
      <c r="H7" s="420" t="s">
        <v>472</v>
      </c>
      <c r="I7" s="419">
        <v>609375</v>
      </c>
      <c r="J7" s="419">
        <v>305897</v>
      </c>
      <c r="K7" s="419">
        <v>915272</v>
      </c>
      <c r="L7" s="421" t="s">
        <v>494</v>
      </c>
      <c r="M7" s="421" t="s">
        <v>474</v>
      </c>
    </row>
    <row r="8" spans="1:13" ht="39.75" thickBot="1">
      <c r="A8" s="422">
        <v>45992.559918981482</v>
      </c>
      <c r="B8" s="423" t="s">
        <v>495</v>
      </c>
      <c r="C8" s="423" t="s">
        <v>496</v>
      </c>
      <c r="D8" s="423" t="s">
        <v>497</v>
      </c>
      <c r="E8" s="424">
        <v>3425122498</v>
      </c>
      <c r="F8" s="423" t="s">
        <v>481</v>
      </c>
      <c r="G8" s="419">
        <v>1020000</v>
      </c>
      <c r="H8" s="420" t="s">
        <v>498</v>
      </c>
      <c r="I8" s="419">
        <v>714000</v>
      </c>
      <c r="J8" s="419">
        <v>305897</v>
      </c>
      <c r="K8" s="419">
        <v>1019897</v>
      </c>
      <c r="L8" s="421" t="s">
        <v>499</v>
      </c>
      <c r="M8" s="421" t="s">
        <v>474</v>
      </c>
    </row>
    <row r="9" spans="1:13" ht="39.75" thickBot="1">
      <c r="A9" s="422">
        <v>45992.60428240741</v>
      </c>
      <c r="B9" s="423" t="s">
        <v>500</v>
      </c>
      <c r="C9" s="423" t="s">
        <v>501</v>
      </c>
      <c r="D9" s="423" t="s">
        <v>502</v>
      </c>
      <c r="E9" s="424">
        <v>3435226933</v>
      </c>
      <c r="F9" s="423" t="s">
        <v>481</v>
      </c>
      <c r="G9" s="419">
        <v>1020000</v>
      </c>
      <c r="H9" s="420" t="s">
        <v>498</v>
      </c>
      <c r="I9" s="419">
        <v>714000</v>
      </c>
      <c r="J9" s="419">
        <v>305897</v>
      </c>
      <c r="K9" s="419">
        <v>1019897</v>
      </c>
      <c r="L9" s="421" t="s">
        <v>499</v>
      </c>
      <c r="M9" s="421" t="s">
        <v>474</v>
      </c>
    </row>
    <row r="10" spans="1:13" ht="39.75" thickBot="1">
      <c r="A10" s="422">
        <v>45992.645462962966</v>
      </c>
      <c r="B10" s="423" t="s">
        <v>503</v>
      </c>
      <c r="C10" s="423" t="s">
        <v>504</v>
      </c>
      <c r="D10" s="423" t="s">
        <v>505</v>
      </c>
      <c r="E10" s="424">
        <v>3434645850</v>
      </c>
      <c r="F10" s="423" t="s">
        <v>481</v>
      </c>
      <c r="G10" s="419">
        <v>1020000</v>
      </c>
      <c r="H10" s="420" t="s">
        <v>498</v>
      </c>
      <c r="I10" s="419">
        <v>714000</v>
      </c>
      <c r="J10" s="419">
        <v>305897</v>
      </c>
      <c r="K10" s="419">
        <v>1019897</v>
      </c>
      <c r="L10" s="421" t="s">
        <v>499</v>
      </c>
      <c r="M10" s="421" t="s">
        <v>474</v>
      </c>
    </row>
    <row r="11" spans="1:13" ht="39.75" thickBot="1">
      <c r="A11" s="422">
        <v>45992.698472222219</v>
      </c>
      <c r="B11" s="423" t="s">
        <v>506</v>
      </c>
      <c r="C11" s="423" t="s">
        <v>507</v>
      </c>
      <c r="D11" s="423" t="s">
        <v>508</v>
      </c>
      <c r="E11" s="424">
        <v>3424630458</v>
      </c>
      <c r="F11" s="423" t="s">
        <v>481</v>
      </c>
      <c r="G11" s="419">
        <v>1020000</v>
      </c>
      <c r="H11" s="420" t="s">
        <v>498</v>
      </c>
      <c r="I11" s="419">
        <v>714000</v>
      </c>
      <c r="J11" s="419">
        <v>305897</v>
      </c>
      <c r="K11" s="419">
        <v>1019897</v>
      </c>
      <c r="L11" s="421" t="s">
        <v>499</v>
      </c>
      <c r="M11" s="421" t="s">
        <v>474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836B-D2C5-468E-9AA1-39A0B4137F2E}">
  <dimension ref="A1:N87"/>
  <sheetViews>
    <sheetView topLeftCell="A28" workbookViewId="0">
      <selection activeCell="A28" sqref="A28:E87"/>
    </sheetView>
  </sheetViews>
  <sheetFormatPr baseColWidth="10" defaultRowHeight="15"/>
  <cols>
    <col min="2" max="14" width="11.85546875" bestFit="1" customWidth="1"/>
  </cols>
  <sheetData>
    <row r="1" spans="1:14" ht="60.75" thickBot="1">
      <c r="A1" s="428" t="s">
        <v>509</v>
      </c>
      <c r="B1" s="429" t="s">
        <v>510</v>
      </c>
      <c r="C1" s="429" t="s">
        <v>511</v>
      </c>
      <c r="D1" s="457" t="s">
        <v>512</v>
      </c>
      <c r="E1" s="457" t="s">
        <v>513</v>
      </c>
      <c r="F1" s="457" t="s">
        <v>514</v>
      </c>
      <c r="G1" s="457" t="s">
        <v>515</v>
      </c>
      <c r="H1" s="430" t="s">
        <v>516</v>
      </c>
      <c r="I1" s="430" t="s">
        <v>517</v>
      </c>
      <c r="J1" s="431" t="s">
        <v>518</v>
      </c>
      <c r="K1" s="431" t="s">
        <v>519</v>
      </c>
      <c r="L1" s="432" t="s">
        <v>520</v>
      </c>
      <c r="M1" s="432" t="s">
        <v>521</v>
      </c>
      <c r="N1" s="433" t="s">
        <v>522</v>
      </c>
    </row>
    <row r="2" spans="1:14" ht="29.25" thickBot="1">
      <c r="A2" s="434" t="s">
        <v>523</v>
      </c>
      <c r="B2" s="449" t="s">
        <v>524</v>
      </c>
      <c r="C2" s="450"/>
      <c r="D2" s="458">
        <v>46062</v>
      </c>
      <c r="E2" s="459"/>
      <c r="F2" s="458">
        <v>46109</v>
      </c>
      <c r="G2" s="459"/>
      <c r="H2" s="449" t="s">
        <v>525</v>
      </c>
      <c r="I2" s="450"/>
      <c r="J2" s="449" t="s">
        <v>524</v>
      </c>
      <c r="K2" s="450"/>
      <c r="L2" s="449" t="s">
        <v>526</v>
      </c>
      <c r="M2" s="450"/>
      <c r="N2" s="435"/>
    </row>
    <row r="3" spans="1:14" ht="15.75" thickBot="1">
      <c r="A3" s="436" t="s">
        <v>69</v>
      </c>
      <c r="B3" s="437">
        <v>204000</v>
      </c>
      <c r="C3" s="437">
        <v>252000</v>
      </c>
      <c r="D3" s="460">
        <v>118000</v>
      </c>
      <c r="E3" s="460">
        <v>162500</v>
      </c>
      <c r="F3" s="460">
        <v>141600</v>
      </c>
      <c r="G3" s="460">
        <v>162500</v>
      </c>
      <c r="H3" s="437">
        <v>141600</v>
      </c>
      <c r="I3" s="437">
        <v>162500</v>
      </c>
      <c r="J3" s="437">
        <v>146000</v>
      </c>
      <c r="K3" s="437">
        <v>172000</v>
      </c>
      <c r="L3" s="437">
        <v>271200</v>
      </c>
      <c r="M3" s="437">
        <v>336000</v>
      </c>
      <c r="N3" s="437">
        <v>144000</v>
      </c>
    </row>
    <row r="4" spans="1:14" ht="15.75" thickBot="1">
      <c r="A4" s="438" t="s">
        <v>317</v>
      </c>
      <c r="B4" s="437">
        <v>816000</v>
      </c>
      <c r="C4" s="437">
        <v>1008000</v>
      </c>
      <c r="D4" s="460">
        <v>590000</v>
      </c>
      <c r="E4" s="460">
        <v>650000</v>
      </c>
      <c r="F4" s="460">
        <v>566400</v>
      </c>
      <c r="G4" s="460">
        <v>650000</v>
      </c>
      <c r="H4" s="437">
        <v>566400</v>
      </c>
      <c r="I4" s="437">
        <v>650000</v>
      </c>
      <c r="J4" s="437">
        <v>584000</v>
      </c>
      <c r="K4" s="437">
        <v>688000</v>
      </c>
      <c r="L4" s="437">
        <v>1084800</v>
      </c>
      <c r="M4" s="437">
        <v>1344000</v>
      </c>
      <c r="N4" s="437">
        <v>576000</v>
      </c>
    </row>
    <row r="5" spans="1:14" ht="45.75" thickBot="1">
      <c r="A5" s="439" t="s">
        <v>527</v>
      </c>
      <c r="B5" s="440">
        <v>1020000</v>
      </c>
      <c r="C5" s="440">
        <v>1260000</v>
      </c>
      <c r="D5" s="460">
        <v>708000</v>
      </c>
      <c r="E5" s="460">
        <v>812500</v>
      </c>
      <c r="F5" s="460">
        <v>708000</v>
      </c>
      <c r="G5" s="460">
        <v>812500</v>
      </c>
      <c r="H5" s="441">
        <v>708000</v>
      </c>
      <c r="I5" s="441">
        <v>812500</v>
      </c>
      <c r="J5" s="440">
        <v>730000</v>
      </c>
      <c r="K5" s="440">
        <v>860000</v>
      </c>
      <c r="L5" s="441">
        <v>1356000</v>
      </c>
      <c r="M5" s="441">
        <v>1680000</v>
      </c>
      <c r="N5" s="441">
        <v>720000</v>
      </c>
    </row>
    <row r="6" spans="1:14" ht="60.75" thickBot="1">
      <c r="A6" s="442" t="s">
        <v>528</v>
      </c>
      <c r="B6" s="443">
        <v>1325897</v>
      </c>
      <c r="C6" s="443">
        <v>1565897</v>
      </c>
      <c r="D6" s="460">
        <v>1013897</v>
      </c>
      <c r="E6" s="460">
        <v>1118397</v>
      </c>
      <c r="F6" s="460">
        <v>1013897</v>
      </c>
      <c r="G6" s="460">
        <v>1118397</v>
      </c>
      <c r="H6" s="443">
        <v>1013897</v>
      </c>
      <c r="I6" s="443">
        <v>1118397</v>
      </c>
      <c r="J6" s="443">
        <v>1035897</v>
      </c>
      <c r="K6" s="443">
        <v>1165897</v>
      </c>
      <c r="L6" s="443">
        <v>1661897</v>
      </c>
      <c r="M6" s="443">
        <v>1985897</v>
      </c>
      <c r="N6" s="443">
        <v>1025897</v>
      </c>
    </row>
    <row r="7" spans="1:14" ht="60.75" thickBot="1">
      <c r="A7" s="442" t="s">
        <v>529</v>
      </c>
      <c r="B7" s="443">
        <v>1366847</v>
      </c>
      <c r="C7" s="443">
        <v>1606847</v>
      </c>
      <c r="D7" s="460">
        <v>1054847</v>
      </c>
      <c r="E7" s="460">
        <v>1159347</v>
      </c>
      <c r="F7" s="460">
        <v>1054847</v>
      </c>
      <c r="G7" s="460">
        <v>1159347</v>
      </c>
      <c r="H7" s="443">
        <v>1054847</v>
      </c>
      <c r="I7" s="443">
        <v>1159347</v>
      </c>
      <c r="J7" s="443">
        <v>1076847</v>
      </c>
      <c r="K7" s="443">
        <v>1206847</v>
      </c>
      <c r="L7" s="443">
        <v>1702847</v>
      </c>
      <c r="M7" s="443">
        <v>2026847</v>
      </c>
      <c r="N7" s="443">
        <v>1066847</v>
      </c>
    </row>
    <row r="8" spans="1:14" ht="15.75" thickBot="1">
      <c r="A8" s="451" t="s">
        <v>530</v>
      </c>
      <c r="B8" s="452"/>
      <c r="C8" s="452"/>
      <c r="D8" s="452"/>
      <c r="E8" s="452"/>
      <c r="F8" s="452"/>
      <c r="G8" s="452"/>
      <c r="H8" s="452"/>
      <c r="I8" s="452"/>
      <c r="J8" s="452"/>
      <c r="K8" s="452"/>
      <c r="L8" s="452"/>
      <c r="M8" s="452"/>
      <c r="N8" s="453"/>
    </row>
    <row r="9" spans="1:14" ht="15.75" thickBot="1">
      <c r="A9" s="454" t="s">
        <v>531</v>
      </c>
      <c r="B9" s="455"/>
      <c r="C9" s="455"/>
      <c r="D9" s="455"/>
      <c r="E9" s="455"/>
      <c r="F9" s="455"/>
      <c r="G9" s="455"/>
      <c r="H9" s="455"/>
      <c r="I9" s="455"/>
      <c r="J9" s="455"/>
      <c r="K9" s="455"/>
      <c r="L9" s="455"/>
      <c r="M9" s="455"/>
      <c r="N9" s="456"/>
    </row>
    <row r="10" spans="1:14" ht="15.75" thickBot="1">
      <c r="A10" s="444" t="s">
        <v>532</v>
      </c>
      <c r="B10" s="445">
        <v>918000</v>
      </c>
      <c r="C10" s="445">
        <v>1134000</v>
      </c>
      <c r="D10" s="461">
        <v>637200</v>
      </c>
      <c r="E10" s="461">
        <v>731250</v>
      </c>
      <c r="F10" s="461">
        <v>637200</v>
      </c>
      <c r="G10" s="461">
        <v>731250</v>
      </c>
      <c r="H10" s="445">
        <v>637200</v>
      </c>
      <c r="I10" s="445">
        <v>731250</v>
      </c>
      <c r="J10" s="445">
        <v>657000</v>
      </c>
      <c r="K10" s="445">
        <v>774000</v>
      </c>
      <c r="L10" s="445">
        <v>1220400</v>
      </c>
      <c r="M10" s="445">
        <v>1512000</v>
      </c>
      <c r="N10" s="445">
        <v>648000</v>
      </c>
    </row>
    <row r="11" spans="1:14" ht="39.75" thickBot="1">
      <c r="A11" s="444" t="s">
        <v>533</v>
      </c>
      <c r="B11" s="445">
        <v>1223897</v>
      </c>
      <c r="C11" s="445">
        <v>1439897</v>
      </c>
      <c r="D11" s="461">
        <v>943097</v>
      </c>
      <c r="E11" s="461">
        <v>1037147</v>
      </c>
      <c r="F11" s="461">
        <v>943097</v>
      </c>
      <c r="G11" s="461">
        <v>1037147</v>
      </c>
      <c r="H11" s="445">
        <v>943097</v>
      </c>
      <c r="I11" s="445">
        <v>1037147</v>
      </c>
      <c r="J11" s="445">
        <v>962897</v>
      </c>
      <c r="K11" s="445">
        <v>1079897</v>
      </c>
      <c r="L11" s="445">
        <v>1526297</v>
      </c>
      <c r="M11" s="445">
        <v>1817897</v>
      </c>
      <c r="N11" s="445">
        <v>953897</v>
      </c>
    </row>
    <row r="12" spans="1:14" ht="39.75" thickBot="1">
      <c r="A12" s="444" t="s">
        <v>534</v>
      </c>
      <c r="B12" s="445">
        <v>1264847</v>
      </c>
      <c r="C12" s="445">
        <v>1480847</v>
      </c>
      <c r="D12" s="461">
        <v>984047</v>
      </c>
      <c r="E12" s="461">
        <v>1078097</v>
      </c>
      <c r="F12" s="461">
        <v>984047</v>
      </c>
      <c r="G12" s="461">
        <v>1078097</v>
      </c>
      <c r="H12" s="445">
        <v>984047</v>
      </c>
      <c r="I12" s="445">
        <v>1078097</v>
      </c>
      <c r="J12" s="445">
        <v>1003847</v>
      </c>
      <c r="K12" s="445">
        <v>1120847</v>
      </c>
      <c r="L12" s="445">
        <v>1567247</v>
      </c>
      <c r="M12" s="445">
        <v>1858847</v>
      </c>
      <c r="N12" s="445">
        <v>994847</v>
      </c>
    </row>
    <row r="13" spans="1:14" ht="15.75" thickBot="1">
      <c r="A13" s="454" t="s">
        <v>535</v>
      </c>
      <c r="B13" s="455"/>
      <c r="C13" s="455"/>
      <c r="D13" s="455"/>
      <c r="E13" s="455"/>
      <c r="F13" s="455"/>
      <c r="G13" s="455"/>
      <c r="H13" s="455"/>
      <c r="I13" s="455"/>
      <c r="J13" s="455"/>
      <c r="K13" s="455"/>
      <c r="L13" s="455"/>
      <c r="M13" s="455"/>
      <c r="N13" s="456"/>
    </row>
    <row r="14" spans="1:14" ht="15.75" thickBot="1">
      <c r="A14" s="444" t="s">
        <v>532</v>
      </c>
      <c r="B14" s="445">
        <v>510000</v>
      </c>
      <c r="C14" s="445">
        <v>630000</v>
      </c>
      <c r="D14" s="461">
        <v>354000</v>
      </c>
      <c r="E14" s="461">
        <v>406250</v>
      </c>
      <c r="F14" s="461">
        <v>354000</v>
      </c>
      <c r="G14" s="461">
        <v>406250</v>
      </c>
      <c r="H14" s="446" t="s">
        <v>536</v>
      </c>
      <c r="I14" s="446" t="s">
        <v>536</v>
      </c>
      <c r="J14" s="445">
        <v>365000</v>
      </c>
      <c r="K14" s="445">
        <v>430000</v>
      </c>
      <c r="L14" s="445">
        <v>678000</v>
      </c>
      <c r="M14" s="445">
        <v>840000</v>
      </c>
      <c r="N14" s="445">
        <v>360000</v>
      </c>
    </row>
    <row r="15" spans="1:14" ht="39.75" thickBot="1">
      <c r="A15" s="444" t="s">
        <v>533</v>
      </c>
      <c r="B15" s="445">
        <v>662949</v>
      </c>
      <c r="C15" s="445">
        <v>782949</v>
      </c>
      <c r="D15" s="461">
        <v>506949</v>
      </c>
      <c r="E15" s="461">
        <v>559199</v>
      </c>
      <c r="F15" s="461">
        <v>506949</v>
      </c>
      <c r="G15" s="461">
        <v>559199</v>
      </c>
      <c r="H15" s="446" t="s">
        <v>536</v>
      </c>
      <c r="I15" s="446" t="s">
        <v>536</v>
      </c>
      <c r="J15" s="445">
        <v>517949</v>
      </c>
      <c r="K15" s="445">
        <v>582949</v>
      </c>
      <c r="L15" s="445">
        <v>830949</v>
      </c>
      <c r="M15" s="445">
        <v>992949</v>
      </c>
      <c r="N15" s="445">
        <v>512949</v>
      </c>
    </row>
    <row r="16" spans="1:14" ht="39.75" thickBot="1">
      <c r="A16" s="444" t="s">
        <v>534</v>
      </c>
      <c r="B16" s="445">
        <v>683424</v>
      </c>
      <c r="C16" s="445">
        <v>803424</v>
      </c>
      <c r="D16" s="461">
        <v>527424</v>
      </c>
      <c r="E16" s="461">
        <v>579674</v>
      </c>
      <c r="F16" s="461">
        <v>527424</v>
      </c>
      <c r="G16" s="461">
        <v>579674</v>
      </c>
      <c r="H16" s="446" t="s">
        <v>536</v>
      </c>
      <c r="I16" s="446" t="s">
        <v>536</v>
      </c>
      <c r="J16" s="445">
        <v>538424</v>
      </c>
      <c r="K16" s="445">
        <v>603424</v>
      </c>
      <c r="L16" s="445">
        <v>851424</v>
      </c>
      <c r="M16" s="445">
        <v>1013424</v>
      </c>
      <c r="N16" s="445">
        <v>533424</v>
      </c>
    </row>
    <row r="17" spans="1:14" ht="15.75" thickBot="1">
      <c r="A17" s="454" t="s">
        <v>537</v>
      </c>
      <c r="B17" s="455"/>
      <c r="C17" s="455"/>
      <c r="D17" s="455"/>
      <c r="E17" s="455"/>
      <c r="F17" s="455"/>
      <c r="G17" s="455"/>
      <c r="H17" s="455"/>
      <c r="I17" s="455"/>
      <c r="J17" s="455"/>
      <c r="K17" s="455"/>
      <c r="L17" s="455"/>
      <c r="M17" s="455"/>
      <c r="N17" s="456"/>
    </row>
    <row r="18" spans="1:14" ht="15.75" thickBot="1">
      <c r="A18" s="444" t="s">
        <v>532</v>
      </c>
      <c r="B18" s="445">
        <v>340000</v>
      </c>
      <c r="C18" s="445">
        <v>420000</v>
      </c>
      <c r="D18" s="461">
        <v>236000</v>
      </c>
      <c r="E18" s="461">
        <v>270833</v>
      </c>
      <c r="F18" s="461">
        <v>236000</v>
      </c>
      <c r="G18" s="461">
        <v>270833</v>
      </c>
      <c r="H18" s="446" t="s">
        <v>536</v>
      </c>
      <c r="I18" s="446" t="s">
        <v>536</v>
      </c>
      <c r="J18" s="445">
        <v>243333</v>
      </c>
      <c r="K18" s="445">
        <v>286667</v>
      </c>
      <c r="L18" s="445">
        <v>452000</v>
      </c>
      <c r="M18" s="445">
        <v>560000</v>
      </c>
      <c r="N18" s="445">
        <v>240000</v>
      </c>
    </row>
    <row r="19" spans="1:14" ht="39.75" thickBot="1">
      <c r="A19" s="444" t="s">
        <v>533</v>
      </c>
      <c r="B19" s="445">
        <v>441966</v>
      </c>
      <c r="C19" s="445">
        <v>521966</v>
      </c>
      <c r="D19" s="461">
        <v>337966</v>
      </c>
      <c r="E19" s="461">
        <v>372799</v>
      </c>
      <c r="F19" s="461">
        <v>337966</v>
      </c>
      <c r="G19" s="461">
        <v>372799</v>
      </c>
      <c r="H19" s="446" t="s">
        <v>536</v>
      </c>
      <c r="I19" s="446" t="s">
        <v>536</v>
      </c>
      <c r="J19" s="445">
        <v>345299</v>
      </c>
      <c r="K19" s="445">
        <v>388632</v>
      </c>
      <c r="L19" s="445">
        <v>553966</v>
      </c>
      <c r="M19" s="445">
        <v>661966</v>
      </c>
      <c r="N19" s="445">
        <v>341966</v>
      </c>
    </row>
    <row r="20" spans="1:14" ht="39.75" thickBot="1">
      <c r="A20" s="444" t="s">
        <v>534</v>
      </c>
      <c r="B20" s="445">
        <v>455616</v>
      </c>
      <c r="C20" s="445">
        <v>535616</v>
      </c>
      <c r="D20" s="461">
        <v>351616</v>
      </c>
      <c r="E20" s="461">
        <v>386449</v>
      </c>
      <c r="F20" s="461">
        <v>351616</v>
      </c>
      <c r="G20" s="461">
        <v>386449</v>
      </c>
      <c r="H20" s="446" t="s">
        <v>536</v>
      </c>
      <c r="I20" s="446" t="s">
        <v>536</v>
      </c>
      <c r="J20" s="445">
        <v>358949</v>
      </c>
      <c r="K20" s="445">
        <v>402282</v>
      </c>
      <c r="L20" s="445">
        <v>567616</v>
      </c>
      <c r="M20" s="445">
        <v>675616</v>
      </c>
      <c r="N20" s="445">
        <v>355616</v>
      </c>
    </row>
    <row r="21" spans="1:14" ht="25.5" customHeight="1" thickBot="1">
      <c r="A21" s="447"/>
      <c r="B21" s="447"/>
      <c r="C21" s="447"/>
      <c r="D21" s="447"/>
      <c r="E21" s="447"/>
      <c r="F21" s="447"/>
      <c r="G21" s="447"/>
      <c r="H21" s="447"/>
      <c r="I21" s="447"/>
      <c r="J21" s="447"/>
      <c r="K21" s="448"/>
      <c r="L21" s="454" t="s">
        <v>538</v>
      </c>
      <c r="M21" s="456"/>
      <c r="N21" s="447"/>
    </row>
    <row r="22" spans="1:14" ht="15.75" thickBot="1">
      <c r="A22" s="447"/>
      <c r="B22" s="447"/>
      <c r="C22" s="447"/>
      <c r="D22" s="447"/>
      <c r="E22" s="447"/>
      <c r="F22" s="447"/>
      <c r="G22" s="447"/>
      <c r="H22" s="447"/>
      <c r="I22" s="447"/>
      <c r="J22" s="447"/>
      <c r="K22" s="448"/>
      <c r="L22" s="445">
        <v>226000</v>
      </c>
      <c r="M22" s="445">
        <v>280000</v>
      </c>
      <c r="N22" s="447"/>
    </row>
    <row r="23" spans="1:14" ht="15.75" thickBot="1">
      <c r="A23" s="447"/>
      <c r="B23" s="447"/>
      <c r="C23" s="447"/>
      <c r="D23" s="447"/>
      <c r="E23" s="447"/>
      <c r="F23" s="447"/>
      <c r="G23" s="447"/>
      <c r="H23" s="447"/>
      <c r="I23" s="447"/>
      <c r="J23" s="447"/>
      <c r="K23" s="448"/>
      <c r="L23" s="445">
        <v>276983</v>
      </c>
      <c r="M23" s="445">
        <v>330983</v>
      </c>
      <c r="N23" s="447"/>
    </row>
    <row r="24" spans="1:14" ht="15.75" thickBot="1">
      <c r="A24" s="447"/>
      <c r="B24" s="447"/>
      <c r="C24" s="447"/>
      <c r="D24" s="447"/>
      <c r="E24" s="447"/>
      <c r="F24" s="447"/>
      <c r="G24" s="447"/>
      <c r="H24" s="447"/>
      <c r="I24" s="447"/>
      <c r="J24" s="447"/>
      <c r="K24" s="448"/>
      <c r="L24" s="445">
        <v>283808</v>
      </c>
      <c r="M24" s="445">
        <v>337808</v>
      </c>
      <c r="N24" s="447"/>
    </row>
    <row r="27" spans="1:14" ht="15.75" thickBot="1"/>
    <row r="28" spans="1:14" ht="30.75" thickBot="1">
      <c r="A28" s="462" t="s">
        <v>442</v>
      </c>
      <c r="B28" s="463" t="s">
        <v>539</v>
      </c>
      <c r="C28" s="464" t="s">
        <v>540</v>
      </c>
      <c r="D28" s="464" t="s">
        <v>541</v>
      </c>
      <c r="E28" s="447"/>
    </row>
    <row r="29" spans="1:14" ht="15.75" thickBot="1">
      <c r="A29" s="465" t="s">
        <v>542</v>
      </c>
      <c r="B29" s="466">
        <v>53400</v>
      </c>
      <c r="C29" s="467">
        <v>72090</v>
      </c>
      <c r="D29" s="467">
        <v>81090</v>
      </c>
      <c r="E29" s="447"/>
    </row>
    <row r="30" spans="1:14" ht="15.75" thickBot="1">
      <c r="A30" s="465" t="s">
        <v>543</v>
      </c>
      <c r="B30" s="466">
        <v>49200</v>
      </c>
      <c r="C30" s="467">
        <v>66420</v>
      </c>
      <c r="D30" s="467">
        <v>75420</v>
      </c>
      <c r="E30" s="447"/>
    </row>
    <row r="31" spans="1:14" ht="30" thickBot="1">
      <c r="A31" s="465" t="s">
        <v>544</v>
      </c>
      <c r="B31" s="466">
        <v>49200</v>
      </c>
      <c r="C31" s="467">
        <v>66420</v>
      </c>
      <c r="D31" s="467">
        <v>75420</v>
      </c>
      <c r="E31" s="447"/>
    </row>
    <row r="32" spans="1:14" ht="30" thickBot="1">
      <c r="A32" s="465" t="s">
        <v>545</v>
      </c>
      <c r="B32" s="466">
        <v>49200</v>
      </c>
      <c r="C32" s="467">
        <v>66420</v>
      </c>
      <c r="D32" s="467">
        <v>75420</v>
      </c>
      <c r="E32" s="447"/>
    </row>
    <row r="33" spans="1:5" ht="30" thickBot="1">
      <c r="A33" s="465" t="s">
        <v>546</v>
      </c>
      <c r="B33" s="466">
        <v>49200</v>
      </c>
      <c r="C33" s="467">
        <v>66420</v>
      </c>
      <c r="D33" s="467">
        <v>75420</v>
      </c>
      <c r="E33" s="447"/>
    </row>
    <row r="34" spans="1:5" ht="15.75" thickBot="1">
      <c r="A34" s="465" t="s">
        <v>547</v>
      </c>
      <c r="B34" s="466">
        <v>49200</v>
      </c>
      <c r="C34" s="467">
        <v>66420</v>
      </c>
      <c r="D34" s="467">
        <v>75420</v>
      </c>
      <c r="E34" s="447"/>
    </row>
    <row r="35" spans="1:5" ht="30" thickBot="1">
      <c r="A35" s="465" t="s">
        <v>548</v>
      </c>
      <c r="B35" s="466">
        <v>49200</v>
      </c>
      <c r="C35" s="467">
        <v>66420</v>
      </c>
      <c r="D35" s="467">
        <v>75420</v>
      </c>
      <c r="E35" s="447"/>
    </row>
    <row r="36" spans="1:5" ht="15.75" thickBot="1">
      <c r="A36" s="468"/>
      <c r="B36" s="468"/>
      <c r="C36" s="468"/>
      <c r="D36" s="468"/>
      <c r="E36" s="447"/>
    </row>
    <row r="37" spans="1:5" ht="44.25" thickBot="1">
      <c r="A37" s="469" t="s">
        <v>549</v>
      </c>
      <c r="B37" s="470" t="s">
        <v>550</v>
      </c>
      <c r="C37" s="471">
        <v>470610</v>
      </c>
      <c r="D37" s="471">
        <v>533610</v>
      </c>
      <c r="E37" s="472">
        <v>-63000</v>
      </c>
    </row>
    <row r="38" spans="1:5" ht="72.75" thickBot="1">
      <c r="A38" s="469" t="s">
        <v>551</v>
      </c>
      <c r="B38" s="470" t="s">
        <v>550</v>
      </c>
      <c r="C38" s="473">
        <v>305897</v>
      </c>
      <c r="D38" s="473">
        <v>346847</v>
      </c>
      <c r="E38" s="472">
        <v>-40950</v>
      </c>
    </row>
    <row r="39" spans="1:5" ht="15.75" thickBot="1">
      <c r="A39" s="468"/>
      <c r="B39" s="468"/>
      <c r="C39" s="447"/>
      <c r="D39" s="447"/>
      <c r="E39" s="447"/>
    </row>
    <row r="40" spans="1:5" ht="58.5" thickBot="1">
      <c r="A40" s="474" t="s">
        <v>552</v>
      </c>
      <c r="B40" s="467">
        <v>50160</v>
      </c>
      <c r="C40" s="447"/>
      <c r="D40" s="447"/>
      <c r="E40" s="447"/>
    </row>
    <row r="41" spans="1:5" ht="30" thickBot="1">
      <c r="A41" s="474" t="s">
        <v>553</v>
      </c>
      <c r="B41" s="467">
        <v>29880</v>
      </c>
      <c r="C41" s="447"/>
      <c r="D41" s="447"/>
      <c r="E41" s="447"/>
    </row>
    <row r="42" spans="1:5" ht="30" thickBot="1">
      <c r="A42" s="474" t="s">
        <v>554</v>
      </c>
      <c r="B42" s="467">
        <v>29880</v>
      </c>
      <c r="C42" s="447"/>
      <c r="D42" s="447"/>
      <c r="E42" s="447"/>
    </row>
    <row r="43" spans="1:5" ht="15.75" thickBot="1">
      <c r="A43" s="468"/>
      <c r="B43" s="468"/>
      <c r="C43" s="468"/>
      <c r="D43" s="447"/>
      <c r="E43" s="447"/>
    </row>
    <row r="44" spans="1:5" ht="129" thickBot="1">
      <c r="A44" s="475" t="s">
        <v>555</v>
      </c>
      <c r="B44" s="476" t="s">
        <v>516</v>
      </c>
      <c r="C44" s="476" t="s">
        <v>517</v>
      </c>
      <c r="D44" s="477" t="s">
        <v>556</v>
      </c>
      <c r="E44" s="478"/>
    </row>
    <row r="45" spans="1:5" ht="26.25" thickBot="1">
      <c r="A45" s="479" t="s">
        <v>523</v>
      </c>
      <c r="B45" s="489" t="s">
        <v>525</v>
      </c>
      <c r="C45" s="490"/>
      <c r="D45" s="477"/>
      <c r="E45" s="447"/>
    </row>
    <row r="46" spans="1:5" ht="39.75" thickBot="1">
      <c r="A46" s="480" t="s">
        <v>527</v>
      </c>
      <c r="B46" s="481">
        <v>708000</v>
      </c>
      <c r="C46" s="481">
        <v>812500</v>
      </c>
      <c r="D46" s="477"/>
      <c r="E46" s="447"/>
    </row>
    <row r="47" spans="1:5" ht="65.25" thickBot="1">
      <c r="A47" s="482" t="s">
        <v>557</v>
      </c>
      <c r="B47" s="483">
        <v>1013897</v>
      </c>
      <c r="C47" s="483">
        <v>1118397</v>
      </c>
      <c r="D47" s="477"/>
      <c r="E47" s="447"/>
    </row>
    <row r="48" spans="1:5" ht="52.5" thickBot="1">
      <c r="A48" s="482" t="s">
        <v>529</v>
      </c>
      <c r="B48" s="483">
        <v>1054847</v>
      </c>
      <c r="C48" s="483">
        <v>1159347</v>
      </c>
      <c r="D48" s="477"/>
      <c r="E48" s="447"/>
    </row>
    <row r="49" spans="1:5" ht="25.5" customHeight="1" thickBot="1">
      <c r="A49" s="451" t="s">
        <v>558</v>
      </c>
      <c r="B49" s="452"/>
      <c r="C49" s="453"/>
      <c r="D49" s="477"/>
      <c r="E49" s="447"/>
    </row>
    <row r="50" spans="1:5" ht="15.75" thickBot="1">
      <c r="A50" s="444" t="s">
        <v>532</v>
      </c>
      <c r="B50" s="445">
        <v>637200</v>
      </c>
      <c r="C50" s="445">
        <v>731250</v>
      </c>
      <c r="D50" s="477"/>
      <c r="E50" s="447"/>
    </row>
    <row r="51" spans="1:5" ht="39.75" thickBot="1">
      <c r="A51" s="444" t="s">
        <v>559</v>
      </c>
      <c r="B51" s="445">
        <v>943097</v>
      </c>
      <c r="C51" s="445">
        <v>1037147</v>
      </c>
      <c r="D51" s="477"/>
      <c r="E51" s="447"/>
    </row>
    <row r="52" spans="1:5" ht="39.75" thickBot="1">
      <c r="A52" s="444" t="s">
        <v>534</v>
      </c>
      <c r="B52" s="445">
        <v>984047</v>
      </c>
      <c r="C52" s="445">
        <v>1078097</v>
      </c>
      <c r="D52" s="477"/>
      <c r="E52" s="447"/>
    </row>
    <row r="53" spans="1:5" ht="15.75" thickBot="1">
      <c r="A53" s="451" t="s">
        <v>535</v>
      </c>
      <c r="B53" s="452"/>
      <c r="C53" s="453"/>
      <c r="D53" s="477"/>
      <c r="E53" s="447"/>
    </row>
    <row r="54" spans="1:5" ht="15.75" thickBot="1">
      <c r="A54" s="444" t="s">
        <v>532</v>
      </c>
      <c r="B54" s="445">
        <v>354000</v>
      </c>
      <c r="C54" s="445">
        <v>406250</v>
      </c>
      <c r="D54" s="477"/>
      <c r="E54" s="447"/>
    </row>
    <row r="55" spans="1:5" ht="39.75" thickBot="1">
      <c r="A55" s="444" t="s">
        <v>559</v>
      </c>
      <c r="B55" s="445">
        <v>506949</v>
      </c>
      <c r="C55" s="445">
        <v>559199</v>
      </c>
      <c r="D55" s="477"/>
      <c r="E55" s="447"/>
    </row>
    <row r="56" spans="1:5" ht="39.75" thickBot="1">
      <c r="A56" s="444" t="s">
        <v>534</v>
      </c>
      <c r="B56" s="445">
        <v>527424</v>
      </c>
      <c r="C56" s="445">
        <v>579674</v>
      </c>
      <c r="D56" s="477"/>
      <c r="E56" s="447"/>
    </row>
    <row r="57" spans="1:5" ht="15.75" thickBot="1">
      <c r="A57" s="468"/>
      <c r="B57" s="468"/>
      <c r="C57" s="468"/>
      <c r="D57" s="468"/>
      <c r="E57" s="468"/>
    </row>
    <row r="58" spans="1:5" ht="39" thickBot="1">
      <c r="A58" s="475" t="s">
        <v>555</v>
      </c>
      <c r="B58" s="484" t="s">
        <v>510</v>
      </c>
      <c r="C58" s="484" t="s">
        <v>511</v>
      </c>
      <c r="D58" s="485" t="s">
        <v>560</v>
      </c>
      <c r="E58" s="485" t="s">
        <v>561</v>
      </c>
    </row>
    <row r="59" spans="1:5" ht="26.25" thickBot="1">
      <c r="A59" s="479" t="s">
        <v>523</v>
      </c>
      <c r="B59" s="489" t="s">
        <v>562</v>
      </c>
      <c r="C59" s="491"/>
      <c r="D59" s="491"/>
      <c r="E59" s="490"/>
    </row>
    <row r="60" spans="1:5" ht="51.75" thickBot="1">
      <c r="A60" s="475" t="s">
        <v>563</v>
      </c>
      <c r="B60" s="486" t="s">
        <v>564</v>
      </c>
      <c r="C60" s="486" t="s">
        <v>564</v>
      </c>
      <c r="D60" s="486" t="s">
        <v>565</v>
      </c>
      <c r="E60" s="486" t="s">
        <v>565</v>
      </c>
    </row>
    <row r="61" spans="1:5" ht="51.75" thickBot="1">
      <c r="A61" s="475" t="s">
        <v>566</v>
      </c>
      <c r="B61" s="486" t="s">
        <v>567</v>
      </c>
      <c r="C61" s="486" t="s">
        <v>567</v>
      </c>
      <c r="D61" s="486" t="s">
        <v>567</v>
      </c>
      <c r="E61" s="486" t="s">
        <v>567</v>
      </c>
    </row>
    <row r="62" spans="1:5" ht="64.5" thickBot="1">
      <c r="A62" s="475" t="s">
        <v>568</v>
      </c>
      <c r="B62" s="486" t="s">
        <v>567</v>
      </c>
      <c r="C62" s="487" t="s">
        <v>569</v>
      </c>
      <c r="D62" s="486" t="s">
        <v>567</v>
      </c>
      <c r="E62" s="487" t="s">
        <v>569</v>
      </c>
    </row>
    <row r="63" spans="1:5" ht="39.75" thickBot="1">
      <c r="A63" s="480" t="s">
        <v>570</v>
      </c>
      <c r="B63" s="481">
        <v>1020000</v>
      </c>
      <c r="C63" s="481">
        <v>1260000</v>
      </c>
      <c r="D63" s="481">
        <v>730000</v>
      </c>
      <c r="E63" s="481">
        <v>860000</v>
      </c>
    </row>
    <row r="64" spans="1:5" ht="65.25" thickBot="1">
      <c r="A64" s="482" t="s">
        <v>557</v>
      </c>
      <c r="B64" s="483">
        <v>1325897</v>
      </c>
      <c r="C64" s="445">
        <v>1565897</v>
      </c>
      <c r="D64" s="483">
        <v>1035897</v>
      </c>
      <c r="E64" s="445">
        <v>1165897</v>
      </c>
    </row>
    <row r="65" spans="1:5" ht="52.5" thickBot="1">
      <c r="A65" s="482" t="s">
        <v>529</v>
      </c>
      <c r="B65" s="483">
        <v>1366847</v>
      </c>
      <c r="C65" s="445">
        <v>1606847</v>
      </c>
      <c r="D65" s="483">
        <v>1076847</v>
      </c>
      <c r="E65" s="445">
        <v>1206847</v>
      </c>
    </row>
    <row r="66" spans="1:5" ht="15.75" thickBot="1">
      <c r="A66" s="451" t="s">
        <v>558</v>
      </c>
      <c r="B66" s="452"/>
      <c r="C66" s="452"/>
      <c r="D66" s="452"/>
      <c r="E66" s="453"/>
    </row>
    <row r="67" spans="1:5" ht="15.75" thickBot="1">
      <c r="A67" s="480" t="s">
        <v>571</v>
      </c>
      <c r="B67" s="481">
        <v>918000</v>
      </c>
      <c r="C67" s="481">
        <v>1134000</v>
      </c>
      <c r="D67" s="481">
        <v>657000</v>
      </c>
      <c r="E67" s="481">
        <v>774000</v>
      </c>
    </row>
    <row r="68" spans="1:5" ht="39.75" thickBot="1">
      <c r="A68" s="444" t="s">
        <v>559</v>
      </c>
      <c r="B68" s="445">
        <v>1223897</v>
      </c>
      <c r="C68" s="445">
        <v>1439897</v>
      </c>
      <c r="D68" s="445">
        <v>962897</v>
      </c>
      <c r="E68" s="445">
        <v>1079897</v>
      </c>
    </row>
    <row r="69" spans="1:5" ht="39.75" thickBot="1">
      <c r="A69" s="444" t="s">
        <v>534</v>
      </c>
      <c r="B69" s="445">
        <v>1264847</v>
      </c>
      <c r="C69" s="445">
        <v>1480847</v>
      </c>
      <c r="D69" s="445">
        <v>1003847</v>
      </c>
      <c r="E69" s="445">
        <v>1120847</v>
      </c>
    </row>
    <row r="70" spans="1:5" ht="15.75" thickBot="1">
      <c r="A70" s="451" t="s">
        <v>572</v>
      </c>
      <c r="B70" s="452"/>
      <c r="C70" s="452"/>
      <c r="D70" s="452"/>
      <c r="E70" s="453"/>
    </row>
    <row r="71" spans="1:5" ht="15.75" thickBot="1">
      <c r="A71" s="480" t="s">
        <v>571</v>
      </c>
      <c r="B71" s="481">
        <v>340000</v>
      </c>
      <c r="C71" s="481">
        <v>420000</v>
      </c>
      <c r="D71" s="481">
        <v>243333</v>
      </c>
      <c r="E71" s="481">
        <v>286667</v>
      </c>
    </row>
    <row r="72" spans="1:5" ht="39.75" thickBot="1">
      <c r="A72" s="444" t="s">
        <v>559</v>
      </c>
      <c r="B72" s="445">
        <v>441966</v>
      </c>
      <c r="C72" s="445">
        <v>521966</v>
      </c>
      <c r="D72" s="445">
        <v>345299</v>
      </c>
      <c r="E72" s="445">
        <v>388632</v>
      </c>
    </row>
    <row r="73" spans="1:5" ht="39.75" thickBot="1">
      <c r="A73" s="444" t="s">
        <v>534</v>
      </c>
      <c r="B73" s="445">
        <v>455616</v>
      </c>
      <c r="C73" s="445">
        <v>535616</v>
      </c>
      <c r="D73" s="445">
        <v>358949</v>
      </c>
      <c r="E73" s="445">
        <v>402282</v>
      </c>
    </row>
    <row r="74" spans="1:5" ht="15.75" thickBot="1">
      <c r="A74" s="468"/>
      <c r="B74" s="468"/>
      <c r="C74" s="468"/>
      <c r="D74" s="447"/>
      <c r="E74" s="447"/>
    </row>
    <row r="75" spans="1:5" ht="26.25" thickBot="1">
      <c r="A75" s="475" t="s">
        <v>555</v>
      </c>
      <c r="B75" s="484" t="s">
        <v>573</v>
      </c>
      <c r="C75" s="484" t="s">
        <v>574</v>
      </c>
      <c r="D75" s="488" t="s">
        <v>575</v>
      </c>
      <c r="E75" s="447"/>
    </row>
    <row r="76" spans="1:5" ht="26.25" thickBot="1">
      <c r="A76" s="479" t="s">
        <v>523</v>
      </c>
      <c r="B76" s="489" t="s">
        <v>576</v>
      </c>
      <c r="C76" s="490"/>
      <c r="D76" s="488"/>
      <c r="E76" s="447"/>
    </row>
    <row r="77" spans="1:5" ht="39.75" thickBot="1">
      <c r="A77" s="480" t="s">
        <v>527</v>
      </c>
      <c r="B77" s="481">
        <v>1356000</v>
      </c>
      <c r="C77" s="481">
        <v>1680000</v>
      </c>
      <c r="D77" s="488"/>
      <c r="E77" s="447"/>
    </row>
    <row r="78" spans="1:5" ht="65.25" thickBot="1">
      <c r="A78" s="482" t="s">
        <v>557</v>
      </c>
      <c r="B78" s="483">
        <v>1661897</v>
      </c>
      <c r="C78" s="483">
        <v>1985897</v>
      </c>
      <c r="D78" s="488"/>
      <c r="E78" s="447"/>
    </row>
    <row r="79" spans="1:5" ht="52.5" thickBot="1">
      <c r="A79" s="482" t="s">
        <v>529</v>
      </c>
      <c r="B79" s="483">
        <v>1702847</v>
      </c>
      <c r="C79" s="483">
        <v>2026847</v>
      </c>
      <c r="D79" s="488"/>
      <c r="E79" s="447"/>
    </row>
    <row r="80" spans="1:5" ht="25.5" customHeight="1" thickBot="1">
      <c r="A80" s="451" t="s">
        <v>558</v>
      </c>
      <c r="B80" s="452"/>
      <c r="C80" s="453"/>
      <c r="D80" s="488"/>
      <c r="E80" s="447"/>
    </row>
    <row r="81" spans="1:5" ht="15.75" thickBot="1">
      <c r="A81" s="444" t="s">
        <v>532</v>
      </c>
      <c r="B81" s="445">
        <v>1220400</v>
      </c>
      <c r="C81" s="445">
        <v>1512000</v>
      </c>
      <c r="D81" s="488"/>
      <c r="E81" s="447"/>
    </row>
    <row r="82" spans="1:5" ht="39.75" thickBot="1">
      <c r="A82" s="444" t="s">
        <v>559</v>
      </c>
      <c r="B82" s="445">
        <v>1526297</v>
      </c>
      <c r="C82" s="445">
        <v>1817897</v>
      </c>
      <c r="D82" s="488"/>
      <c r="E82" s="447"/>
    </row>
    <row r="83" spans="1:5" ht="39.75" thickBot="1">
      <c r="A83" s="444" t="s">
        <v>534</v>
      </c>
      <c r="B83" s="445">
        <v>1567247</v>
      </c>
      <c r="C83" s="445">
        <v>1858847</v>
      </c>
      <c r="D83" s="488"/>
      <c r="E83" s="447"/>
    </row>
    <row r="84" spans="1:5" ht="15.75" thickBot="1">
      <c r="A84" s="451" t="s">
        <v>577</v>
      </c>
      <c r="B84" s="452"/>
      <c r="C84" s="453"/>
      <c r="D84" s="488"/>
      <c r="E84" s="447"/>
    </row>
    <row r="85" spans="1:5" ht="15.75" thickBot="1">
      <c r="A85" s="444" t="s">
        <v>532</v>
      </c>
      <c r="B85" s="445">
        <v>226000</v>
      </c>
      <c r="C85" s="445">
        <v>280000</v>
      </c>
      <c r="D85" s="488"/>
      <c r="E85" s="447"/>
    </row>
    <row r="86" spans="1:5" ht="39.75" thickBot="1">
      <c r="A86" s="444" t="s">
        <v>559</v>
      </c>
      <c r="B86" s="445">
        <v>276983</v>
      </c>
      <c r="C86" s="445">
        <v>330983</v>
      </c>
      <c r="D86" s="488"/>
      <c r="E86" s="447"/>
    </row>
    <row r="87" spans="1:5" ht="39.75" thickBot="1">
      <c r="A87" s="444" t="s">
        <v>534</v>
      </c>
      <c r="B87" s="445">
        <v>283808</v>
      </c>
      <c r="C87" s="445">
        <v>337808</v>
      </c>
      <c r="D87" s="488"/>
      <c r="E87" s="447"/>
    </row>
  </sheetData>
  <mergeCells count="20">
    <mergeCell ref="A80:C80"/>
    <mergeCell ref="A84:C84"/>
    <mergeCell ref="A49:C49"/>
    <mergeCell ref="A53:C53"/>
    <mergeCell ref="B59:E59"/>
    <mergeCell ref="A66:E66"/>
    <mergeCell ref="A70:E70"/>
    <mergeCell ref="B76:C76"/>
    <mergeCell ref="A8:N8"/>
    <mergeCell ref="A9:N9"/>
    <mergeCell ref="A13:N13"/>
    <mergeCell ref="A17:N17"/>
    <mergeCell ref="L21:M21"/>
    <mergeCell ref="B45:C45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36C1-55FB-4EB8-AFBC-270DB8B91224}">
  <dimension ref="A1:R45"/>
  <sheetViews>
    <sheetView tabSelected="1" workbookViewId="0">
      <selection activeCell="B1" sqref="B1"/>
    </sheetView>
  </sheetViews>
  <sheetFormatPr baseColWidth="10" defaultRowHeight="15"/>
  <cols>
    <col min="2" max="2" width="33.85546875" customWidth="1"/>
    <col min="4" max="4" width="15" bestFit="1" customWidth="1"/>
    <col min="7" max="8" width="13.140625" bestFit="1" customWidth="1"/>
  </cols>
  <sheetData>
    <row r="1" spans="1:18" ht="18.75">
      <c r="A1" s="492"/>
      <c r="B1" s="493" t="s">
        <v>578</v>
      </c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  <c r="R1" s="492"/>
    </row>
    <row r="2" spans="1:18">
      <c r="A2" s="550"/>
      <c r="B2" s="550"/>
      <c r="C2" s="492"/>
      <c r="D2" s="492"/>
      <c r="E2" s="494"/>
      <c r="F2" s="496"/>
      <c r="G2" s="492">
        <v>0.251</v>
      </c>
      <c r="H2" s="492">
        <v>0.251</v>
      </c>
      <c r="I2" s="492" t="s">
        <v>579</v>
      </c>
      <c r="J2" s="492" t="s">
        <v>579</v>
      </c>
      <c r="K2" s="492" t="s">
        <v>579</v>
      </c>
      <c r="L2" s="492" t="s">
        <v>579</v>
      </c>
      <c r="M2" s="492" t="s">
        <v>579</v>
      </c>
      <c r="N2" s="492"/>
      <c r="O2" s="492"/>
      <c r="P2" s="492"/>
      <c r="Q2" s="492"/>
      <c r="R2" s="492"/>
    </row>
    <row r="3" spans="1:18">
      <c r="A3" s="550"/>
      <c r="B3" s="550"/>
      <c r="C3" s="492"/>
      <c r="D3" s="492"/>
      <c r="E3" s="497"/>
      <c r="F3" s="492"/>
      <c r="G3" s="492" t="s">
        <v>384</v>
      </c>
      <c r="H3" s="492" t="s">
        <v>385</v>
      </c>
      <c r="I3" s="492" t="s">
        <v>368</v>
      </c>
      <c r="J3" s="492" t="s">
        <v>369</v>
      </c>
      <c r="K3" s="492" t="s">
        <v>370</v>
      </c>
      <c r="L3" s="492" t="s">
        <v>371</v>
      </c>
      <c r="M3" s="492" t="s">
        <v>372</v>
      </c>
      <c r="N3" s="492" t="s">
        <v>373</v>
      </c>
      <c r="O3" s="492" t="s">
        <v>374</v>
      </c>
      <c r="P3" s="492" t="s">
        <v>375</v>
      </c>
      <c r="Q3" s="492" t="s">
        <v>376</v>
      </c>
      <c r="R3" s="492" t="s">
        <v>377</v>
      </c>
    </row>
    <row r="4" spans="1:18">
      <c r="A4" s="492"/>
      <c r="B4" s="498" t="s">
        <v>580</v>
      </c>
      <c r="C4" s="499"/>
      <c r="D4" s="500" t="s">
        <v>41</v>
      </c>
      <c r="E4" s="501"/>
      <c r="F4" s="502"/>
      <c r="G4" s="503"/>
      <c r="H4" s="503"/>
      <c r="I4" s="503"/>
      <c r="J4" s="503"/>
      <c r="K4" s="503"/>
      <c r="L4" s="503"/>
      <c r="M4" s="503"/>
      <c r="N4" s="503"/>
      <c r="O4" s="503"/>
      <c r="P4" s="503"/>
      <c r="Q4" s="503"/>
      <c r="R4" s="503"/>
    </row>
    <row r="5" spans="1:18">
      <c r="A5" s="492"/>
      <c r="B5" s="498" t="s">
        <v>581</v>
      </c>
      <c r="C5" s="499"/>
      <c r="D5" s="504">
        <v>4746475</v>
      </c>
      <c r="E5" s="505"/>
      <c r="F5" s="506"/>
      <c r="G5" s="507">
        <v>2460425</v>
      </c>
      <c r="H5" s="507">
        <v>2286050</v>
      </c>
      <c r="I5" s="503" t="s">
        <v>42</v>
      </c>
      <c r="J5" s="503" t="s">
        <v>42</v>
      </c>
      <c r="K5" s="503" t="s">
        <v>42</v>
      </c>
      <c r="L5" s="503" t="s">
        <v>42</v>
      </c>
      <c r="M5" s="503" t="s">
        <v>42</v>
      </c>
      <c r="N5" s="503" t="s">
        <v>42</v>
      </c>
      <c r="O5" s="503" t="s">
        <v>42</v>
      </c>
      <c r="P5" s="503" t="s">
        <v>42</v>
      </c>
      <c r="Q5" s="503" t="s">
        <v>42</v>
      </c>
      <c r="R5" s="503" t="s">
        <v>42</v>
      </c>
    </row>
    <row r="6" spans="1:18">
      <c r="A6" s="492"/>
      <c r="B6" s="495" t="s">
        <v>582</v>
      </c>
      <c r="C6" s="508"/>
      <c r="D6" s="509">
        <v>1191365.23</v>
      </c>
      <c r="E6" s="510">
        <v>0.251</v>
      </c>
      <c r="F6" s="119"/>
      <c r="G6" s="511">
        <v>617566.68000000005</v>
      </c>
      <c r="H6" s="511">
        <v>573798.55000000005</v>
      </c>
      <c r="I6" s="119" t="s">
        <v>42</v>
      </c>
      <c r="J6" s="119" t="s">
        <v>42</v>
      </c>
      <c r="K6" s="119" t="s">
        <v>42</v>
      </c>
      <c r="L6" s="119" t="s">
        <v>42</v>
      </c>
      <c r="M6" s="119" t="s">
        <v>42</v>
      </c>
      <c r="N6" s="119" t="s">
        <v>42</v>
      </c>
      <c r="O6" s="119" t="s">
        <v>42</v>
      </c>
      <c r="P6" s="119" t="s">
        <v>42</v>
      </c>
      <c r="Q6" s="119" t="s">
        <v>42</v>
      </c>
      <c r="R6" s="119" t="s">
        <v>42</v>
      </c>
    </row>
    <row r="7" spans="1:18">
      <c r="A7" s="550"/>
      <c r="B7" s="550"/>
      <c r="C7" s="508"/>
      <c r="D7" s="512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</row>
    <row r="8" spans="1:18">
      <c r="A8" s="492"/>
      <c r="B8" s="495" t="s">
        <v>304</v>
      </c>
      <c r="C8" s="508"/>
      <c r="D8" s="513">
        <v>3555109.78</v>
      </c>
      <c r="E8" s="119"/>
      <c r="F8" s="119"/>
      <c r="G8" s="59">
        <f>G5-G6</f>
        <v>1842858.3199999998</v>
      </c>
      <c r="H8" s="59">
        <v>1712251.45</v>
      </c>
      <c r="I8" s="107" t="s">
        <v>42</v>
      </c>
      <c r="J8" s="107" t="s">
        <v>42</v>
      </c>
      <c r="K8" s="107" t="s">
        <v>42</v>
      </c>
      <c r="L8" s="107" t="s">
        <v>42</v>
      </c>
      <c r="M8" s="107" t="s">
        <v>42</v>
      </c>
      <c r="N8" s="107" t="s">
        <v>42</v>
      </c>
      <c r="O8" s="107" t="s">
        <v>42</v>
      </c>
      <c r="P8" s="107" t="s">
        <v>42</v>
      </c>
      <c r="Q8" s="107" t="s">
        <v>42</v>
      </c>
      <c r="R8" s="107" t="s">
        <v>42</v>
      </c>
    </row>
    <row r="9" spans="1:18">
      <c r="A9" s="550"/>
      <c r="B9" s="550"/>
      <c r="C9" s="508"/>
      <c r="D9" s="514"/>
      <c r="E9" s="119"/>
      <c r="F9" s="119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</row>
    <row r="10" spans="1:18">
      <c r="A10" s="492"/>
      <c r="B10" s="495" t="s">
        <v>583</v>
      </c>
      <c r="C10" s="508"/>
      <c r="D10" s="509">
        <v>1000000</v>
      </c>
      <c r="E10" s="119"/>
      <c r="F10" s="119"/>
      <c r="G10" s="60">
        <v>500000</v>
      </c>
      <c r="H10" s="60">
        <v>500000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492"/>
      <c r="B11" s="495" t="s">
        <v>122</v>
      </c>
      <c r="C11" s="508"/>
      <c r="D11" s="509">
        <v>522000</v>
      </c>
      <c r="E11" s="119"/>
      <c r="F11" s="119"/>
      <c r="G11" s="60">
        <v>261000</v>
      </c>
      <c r="H11" s="60">
        <v>261000</v>
      </c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50"/>
      <c r="B12" s="550"/>
      <c r="C12" s="515"/>
      <c r="D12" s="512" t="s">
        <v>42</v>
      </c>
      <c r="E12" s="119"/>
      <c r="F12" s="11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492"/>
      <c r="B13" s="495" t="s">
        <v>584</v>
      </c>
      <c r="C13" s="515"/>
      <c r="D13" s="509">
        <v>805600</v>
      </c>
      <c r="E13" s="94"/>
      <c r="F13" s="119"/>
      <c r="G13" s="511">
        <v>402800</v>
      </c>
      <c r="H13" s="511">
        <v>402800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50"/>
      <c r="B14" s="550"/>
      <c r="C14" s="515"/>
      <c r="D14" s="516" t="s">
        <v>585</v>
      </c>
      <c r="E14" s="516" t="s">
        <v>586</v>
      </c>
      <c r="F14" s="119"/>
      <c r="G14" s="517"/>
      <c r="H14" s="517" t="s">
        <v>41</v>
      </c>
      <c r="I14" s="517" t="s">
        <v>42</v>
      </c>
      <c r="J14" s="94"/>
      <c r="K14" s="517"/>
      <c r="L14" s="517"/>
      <c r="M14" s="517"/>
      <c r="N14" s="517"/>
      <c r="O14" s="517"/>
      <c r="P14" s="517"/>
      <c r="Q14" s="517"/>
      <c r="R14" s="517"/>
    </row>
    <row r="15" spans="1:18">
      <c r="A15" s="492"/>
      <c r="B15" s="495" t="s">
        <v>587</v>
      </c>
      <c r="C15" s="515"/>
      <c r="D15" s="518">
        <f>SUM(G15:R15)</f>
        <v>1227509.7699999998</v>
      </c>
      <c r="E15" s="519"/>
      <c r="F15" s="495"/>
      <c r="G15" s="256">
        <f>G8-SUM(G10:G13)</f>
        <v>679058.31999999983</v>
      </c>
      <c r="H15" s="256">
        <v>548451.44999999995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</row>
    <row r="16" spans="1:18">
      <c r="A16" s="492"/>
      <c r="B16" s="495" t="s">
        <v>588</v>
      </c>
      <c r="C16" s="515"/>
      <c r="D16" s="518">
        <f>SUM(G16:R16)</f>
        <v>613754.8899999999</v>
      </c>
      <c r="E16" s="519"/>
      <c r="F16" s="495"/>
      <c r="G16" s="256">
        <v>339529.16</v>
      </c>
      <c r="H16" s="256">
        <v>274225.73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>
      <c r="A17" s="492"/>
      <c r="B17" s="319" t="s">
        <v>586</v>
      </c>
      <c r="C17" s="319"/>
      <c r="D17" s="520">
        <f>SUM(G17:R17)</f>
        <v>491003.91000000003</v>
      </c>
      <c r="E17" s="329"/>
      <c r="F17" s="495"/>
      <c r="G17" s="521">
        <v>271623.33</v>
      </c>
      <c r="H17" s="521">
        <v>219380.58</v>
      </c>
      <c r="I17" s="522"/>
      <c r="J17" s="522"/>
      <c r="K17" s="522"/>
      <c r="L17" s="522"/>
      <c r="M17" s="522"/>
      <c r="N17" s="522"/>
      <c r="O17" s="522"/>
      <c r="P17" s="522"/>
      <c r="Q17" s="522"/>
      <c r="R17" s="522"/>
    </row>
    <row r="18" spans="1:18">
      <c r="A18" s="492"/>
      <c r="B18" s="495" t="s">
        <v>589</v>
      </c>
      <c r="C18" s="515"/>
      <c r="D18" s="523">
        <f>SUM(G18:R18)</f>
        <v>306877.43999999994</v>
      </c>
      <c r="E18" s="524"/>
      <c r="F18" s="495"/>
      <c r="G18" s="525">
        <v>169764.58</v>
      </c>
      <c r="H18" s="525">
        <v>137112.85999999999</v>
      </c>
      <c r="I18" s="526" t="s">
        <v>42</v>
      </c>
      <c r="J18" s="526" t="s">
        <v>42</v>
      </c>
      <c r="K18" s="526" t="s">
        <v>42</v>
      </c>
      <c r="L18" s="526" t="s">
        <v>42</v>
      </c>
      <c r="M18" s="526" t="s">
        <v>42</v>
      </c>
      <c r="N18" s="526" t="s">
        <v>42</v>
      </c>
      <c r="O18" s="526" t="s">
        <v>42</v>
      </c>
      <c r="P18" s="526" t="s">
        <v>42</v>
      </c>
      <c r="Q18" s="526" t="s">
        <v>42</v>
      </c>
      <c r="R18" s="526" t="s">
        <v>42</v>
      </c>
    </row>
    <row r="19" spans="1:18">
      <c r="A19" s="492"/>
      <c r="B19" s="495" t="s">
        <v>590</v>
      </c>
      <c r="C19" s="515"/>
      <c r="D19" s="527">
        <f>SUM(G19:R19)</f>
        <v>122750.98000000001</v>
      </c>
      <c r="E19" s="524"/>
      <c r="F19" s="495"/>
      <c r="G19" s="528">
        <v>67905.83</v>
      </c>
      <c r="H19" s="528">
        <v>54845.15</v>
      </c>
      <c r="I19" s="529" t="s">
        <v>42</v>
      </c>
      <c r="J19" s="529" t="s">
        <v>42</v>
      </c>
      <c r="K19" s="529" t="s">
        <v>42</v>
      </c>
      <c r="L19" s="529" t="s">
        <v>42</v>
      </c>
      <c r="M19" s="529" t="s">
        <v>42</v>
      </c>
      <c r="N19" s="529" t="s">
        <v>42</v>
      </c>
      <c r="O19" s="529" t="s">
        <v>42</v>
      </c>
      <c r="P19" s="529" t="s">
        <v>42</v>
      </c>
      <c r="Q19" s="529" t="s">
        <v>42</v>
      </c>
      <c r="R19" s="529" t="s">
        <v>42</v>
      </c>
    </row>
    <row r="20" spans="1:18">
      <c r="A20" s="550"/>
      <c r="B20" s="550"/>
      <c r="C20" s="515"/>
      <c r="D20" s="530"/>
      <c r="E20" s="524"/>
      <c r="F20" s="495"/>
      <c r="G20" s="531"/>
      <c r="H20" s="531"/>
      <c r="I20" s="531"/>
      <c r="J20" s="531"/>
      <c r="K20" s="531"/>
      <c r="L20" s="531"/>
      <c r="M20" s="531"/>
      <c r="N20" s="531"/>
      <c r="O20" s="531"/>
      <c r="P20" s="531"/>
      <c r="Q20" s="531"/>
      <c r="R20" s="531"/>
    </row>
    <row r="21" spans="1:18">
      <c r="A21" s="550"/>
      <c r="B21" s="550"/>
      <c r="C21" s="495"/>
      <c r="D21" s="495"/>
      <c r="E21" s="495"/>
      <c r="F21" s="495"/>
      <c r="G21" s="495"/>
      <c r="H21" s="495"/>
      <c r="I21" s="495"/>
      <c r="J21" s="495"/>
      <c r="K21" s="495"/>
      <c r="L21" s="495"/>
      <c r="M21" s="495"/>
      <c r="N21" s="495"/>
      <c r="O21" s="495"/>
      <c r="P21" s="495"/>
      <c r="Q21" s="495"/>
      <c r="R21" s="495"/>
    </row>
    <row r="22" spans="1:18">
      <c r="A22" s="551"/>
      <c r="B22" s="551"/>
      <c r="C22" s="492"/>
      <c r="D22" s="532" t="s">
        <v>42</v>
      </c>
      <c r="E22" s="532" t="s">
        <v>42</v>
      </c>
      <c r="F22" s="533" t="s">
        <v>42</v>
      </c>
      <c r="G22" s="94"/>
      <c r="H22" s="492"/>
      <c r="I22" s="517"/>
      <c r="J22" s="492"/>
      <c r="K22" s="492"/>
      <c r="L22" s="492"/>
      <c r="M22" s="492"/>
      <c r="N22" s="492"/>
      <c r="O22" s="534"/>
      <c r="P22" s="492"/>
      <c r="Q22" s="492"/>
      <c r="R22" s="492"/>
    </row>
    <row r="23" spans="1:18" ht="30">
      <c r="A23" s="535"/>
      <c r="B23" s="536" t="s">
        <v>591</v>
      </c>
      <c r="C23" s="537" t="s">
        <v>592</v>
      </c>
      <c r="D23" s="538" t="s">
        <v>69</v>
      </c>
      <c r="E23" s="538" t="s">
        <v>317</v>
      </c>
      <c r="F23" s="539" t="s">
        <v>593</v>
      </c>
      <c r="G23" s="536" t="s">
        <v>594</v>
      </c>
      <c r="H23" s="536" t="s">
        <v>595</v>
      </c>
      <c r="I23" s="536" t="s">
        <v>596</v>
      </c>
      <c r="J23" s="536" t="s">
        <v>597</v>
      </c>
      <c r="K23" s="540" t="s">
        <v>598</v>
      </c>
      <c r="L23" s="541" t="s">
        <v>599</v>
      </c>
      <c r="M23" s="541" t="s">
        <v>600</v>
      </c>
      <c r="N23" s="541" t="s">
        <v>601</v>
      </c>
      <c r="O23" s="542" t="s">
        <v>602</v>
      </c>
      <c r="P23" s="543" t="s">
        <v>603</v>
      </c>
      <c r="Q23" s="543" t="s">
        <v>604</v>
      </c>
      <c r="R23" s="541" t="s">
        <v>605</v>
      </c>
    </row>
    <row r="24" spans="1:18">
      <c r="A24" s="502" t="s">
        <v>606</v>
      </c>
      <c r="B24" s="502" t="s">
        <v>607</v>
      </c>
      <c r="C24" s="544">
        <v>45877</v>
      </c>
      <c r="D24" s="502"/>
      <c r="E24" s="501"/>
      <c r="F24" s="545"/>
      <c r="G24" s="546">
        <v>156000</v>
      </c>
      <c r="H24" s="502"/>
      <c r="I24" s="502"/>
      <c r="J24" s="502"/>
      <c r="K24" s="547"/>
      <c r="L24" s="502"/>
      <c r="M24" s="502"/>
      <c r="N24" s="502"/>
      <c r="O24" s="502"/>
      <c r="P24" s="547"/>
      <c r="Q24" s="547"/>
      <c r="R24" s="502"/>
    </row>
    <row r="25" spans="1:18">
      <c r="A25" s="502" t="s">
        <v>606</v>
      </c>
      <c r="B25" s="502" t="s">
        <v>608</v>
      </c>
      <c r="C25" s="544">
        <v>45877</v>
      </c>
      <c r="D25" s="502"/>
      <c r="E25" s="501"/>
      <c r="F25" s="545"/>
      <c r="G25" s="546">
        <v>156000</v>
      </c>
      <c r="H25" s="502"/>
      <c r="I25" s="502"/>
      <c r="J25" s="502"/>
      <c r="K25" s="547"/>
      <c r="L25" s="502"/>
      <c r="M25" s="502"/>
      <c r="N25" s="502"/>
      <c r="O25" s="502"/>
      <c r="P25" s="547"/>
      <c r="Q25" s="547"/>
      <c r="R25" s="502"/>
    </row>
    <row r="26" spans="1:18">
      <c r="A26" s="502" t="s">
        <v>606</v>
      </c>
      <c r="B26" s="125" t="s">
        <v>609</v>
      </c>
      <c r="C26" s="544">
        <v>45877</v>
      </c>
      <c r="D26" s="502"/>
      <c r="E26" s="501"/>
      <c r="F26" s="545"/>
      <c r="G26" s="546">
        <v>156000</v>
      </c>
      <c r="H26" s="546">
        <v>156000</v>
      </c>
      <c r="I26" s="502"/>
      <c r="J26" s="502"/>
      <c r="K26" s="547"/>
      <c r="L26" s="502"/>
      <c r="M26" s="502"/>
      <c r="N26" s="502"/>
      <c r="O26" s="502"/>
      <c r="P26" s="547"/>
      <c r="Q26" s="547"/>
      <c r="R26" s="547"/>
    </row>
    <row r="27" spans="1:18">
      <c r="A27" s="502" t="s">
        <v>606</v>
      </c>
      <c r="B27" s="492" t="s">
        <v>610</v>
      </c>
      <c r="C27" s="544">
        <v>45877</v>
      </c>
      <c r="D27" s="502"/>
      <c r="E27" s="501"/>
      <c r="F27" s="545"/>
      <c r="G27" s="546">
        <v>156000</v>
      </c>
      <c r="H27" s="502"/>
      <c r="I27" s="502"/>
      <c r="J27" s="502"/>
      <c r="K27" s="547"/>
      <c r="L27" s="502"/>
      <c r="M27" s="502"/>
      <c r="N27" s="502"/>
      <c r="O27" s="502"/>
      <c r="P27" s="547"/>
      <c r="Q27" s="547"/>
      <c r="R27" s="547"/>
    </row>
    <row r="28" spans="1:18">
      <c r="A28" s="502" t="s">
        <v>606</v>
      </c>
      <c r="B28" s="502" t="s">
        <v>611</v>
      </c>
      <c r="C28" s="544">
        <v>45877</v>
      </c>
      <c r="D28" s="502"/>
      <c r="E28" s="501"/>
      <c r="F28" s="545"/>
      <c r="G28" s="546">
        <v>156000</v>
      </c>
      <c r="H28" s="502"/>
      <c r="I28" s="502"/>
      <c r="J28" s="502"/>
      <c r="K28" s="547"/>
      <c r="L28" s="502"/>
      <c r="M28" s="502"/>
      <c r="N28" s="502"/>
      <c r="O28" s="502"/>
      <c r="P28" s="547"/>
      <c r="Q28" s="547"/>
      <c r="R28" s="502"/>
    </row>
    <row r="29" spans="1:18">
      <c r="A29" s="502" t="s">
        <v>606</v>
      </c>
      <c r="B29" s="502" t="s">
        <v>612</v>
      </c>
      <c r="C29" s="544">
        <v>45877</v>
      </c>
      <c r="D29" s="502"/>
      <c r="E29" s="501"/>
      <c r="F29" s="545"/>
      <c r="G29" s="546">
        <v>156000</v>
      </c>
      <c r="H29" s="546">
        <v>156000</v>
      </c>
      <c r="I29" s="502"/>
      <c r="J29" s="502"/>
      <c r="K29" s="547"/>
      <c r="L29" s="502"/>
      <c r="M29" s="502"/>
      <c r="N29" s="502"/>
      <c r="O29" s="502"/>
      <c r="P29" s="547"/>
      <c r="Q29" s="547"/>
      <c r="R29" s="502"/>
    </row>
    <row r="30" spans="1:18">
      <c r="A30" s="502" t="s">
        <v>606</v>
      </c>
      <c r="B30" s="502" t="s">
        <v>613</v>
      </c>
      <c r="C30" s="544">
        <v>45877</v>
      </c>
      <c r="D30" s="502"/>
      <c r="E30" s="501"/>
      <c r="F30" s="545"/>
      <c r="G30" s="546">
        <v>124000</v>
      </c>
      <c r="H30" s="502"/>
      <c r="I30" s="502"/>
      <c r="J30" s="502"/>
      <c r="K30" s="547"/>
      <c r="L30" s="502"/>
      <c r="M30" s="502"/>
      <c r="N30" s="502"/>
      <c r="O30" s="502"/>
      <c r="P30" s="547"/>
      <c r="Q30" s="547"/>
      <c r="R30" s="502"/>
    </row>
    <row r="31" spans="1:18">
      <c r="A31" s="502" t="s">
        <v>606</v>
      </c>
      <c r="B31" s="502" t="s">
        <v>614</v>
      </c>
      <c r="C31" s="544">
        <v>45877</v>
      </c>
      <c r="D31" s="502"/>
      <c r="E31" s="501"/>
      <c r="F31" s="545"/>
      <c r="G31" s="546">
        <v>124800</v>
      </c>
      <c r="H31" s="502"/>
      <c r="I31" s="502"/>
      <c r="J31" s="502"/>
      <c r="K31" s="547"/>
      <c r="L31" s="502"/>
      <c r="M31" s="502"/>
      <c r="N31" s="502"/>
      <c r="O31" s="502"/>
      <c r="P31" s="547"/>
      <c r="Q31" s="547"/>
      <c r="R31" s="502"/>
    </row>
    <row r="32" spans="1:18">
      <c r="A32" s="502" t="s">
        <v>615</v>
      </c>
      <c r="B32" s="502" t="s">
        <v>616</v>
      </c>
      <c r="C32" s="502"/>
      <c r="D32" s="502"/>
      <c r="E32" s="501"/>
      <c r="F32" s="545"/>
      <c r="G32" s="546">
        <v>121875</v>
      </c>
      <c r="H32" s="546">
        <v>121875</v>
      </c>
      <c r="I32" s="502"/>
      <c r="J32" s="502"/>
      <c r="K32" s="547"/>
      <c r="L32" s="502"/>
      <c r="M32" s="502"/>
      <c r="N32" s="502"/>
      <c r="O32" s="502"/>
      <c r="P32" s="547"/>
      <c r="Q32" s="547"/>
      <c r="R32" s="502"/>
    </row>
    <row r="33" spans="1:18">
      <c r="A33" s="502" t="s">
        <v>615</v>
      </c>
      <c r="B33" s="502" t="s">
        <v>617</v>
      </c>
      <c r="C33" s="502"/>
      <c r="D33" s="502"/>
      <c r="E33" s="501"/>
      <c r="F33" s="545"/>
      <c r="G33" s="546">
        <v>121875</v>
      </c>
      <c r="H33" s="546">
        <v>121875</v>
      </c>
      <c r="I33" s="502"/>
      <c r="J33" s="502"/>
      <c r="K33" s="547"/>
      <c r="L33" s="502"/>
      <c r="M33" s="502"/>
      <c r="N33" s="502"/>
      <c r="O33" s="502"/>
      <c r="P33" s="547"/>
      <c r="Q33" s="547"/>
      <c r="R33" s="547"/>
    </row>
    <row r="34" spans="1:18">
      <c r="A34" s="502" t="s">
        <v>615</v>
      </c>
      <c r="B34" s="502" t="s">
        <v>618</v>
      </c>
      <c r="C34" s="502"/>
      <c r="D34" s="502"/>
      <c r="E34" s="501"/>
      <c r="F34" s="545"/>
      <c r="G34" s="546">
        <v>121875</v>
      </c>
      <c r="H34" s="546">
        <v>121875</v>
      </c>
      <c r="I34" s="502"/>
      <c r="J34" s="502"/>
      <c r="K34" s="547"/>
      <c r="L34" s="502"/>
      <c r="M34" s="502"/>
      <c r="N34" s="502"/>
      <c r="O34" s="502"/>
      <c r="P34" s="547"/>
      <c r="Q34" s="547"/>
      <c r="R34" s="547"/>
    </row>
    <row r="35" spans="1:18">
      <c r="A35" s="502" t="s">
        <v>615</v>
      </c>
      <c r="B35" s="301" t="s">
        <v>619</v>
      </c>
      <c r="C35" s="502"/>
      <c r="D35" s="502"/>
      <c r="E35" s="501"/>
      <c r="F35" s="545"/>
      <c r="G35" s="546">
        <v>121875</v>
      </c>
      <c r="H35" s="546">
        <v>121875</v>
      </c>
      <c r="I35" s="502"/>
      <c r="J35" s="502"/>
      <c r="K35" s="547"/>
      <c r="L35" s="502"/>
      <c r="M35" s="502"/>
      <c r="N35" s="502"/>
      <c r="O35" s="502"/>
      <c r="P35" s="547"/>
      <c r="Q35" s="547"/>
      <c r="R35" s="502"/>
    </row>
    <row r="36" spans="1:18">
      <c r="A36" s="502" t="s">
        <v>615</v>
      </c>
      <c r="B36" s="502" t="s">
        <v>620</v>
      </c>
      <c r="C36" s="502"/>
      <c r="D36" s="502"/>
      <c r="E36" s="501"/>
      <c r="F36" s="545"/>
      <c r="G36" s="546">
        <v>138125</v>
      </c>
      <c r="H36" s="546">
        <v>138125</v>
      </c>
      <c r="I36" s="502"/>
      <c r="J36" s="502"/>
      <c r="K36" s="547"/>
      <c r="L36" s="502"/>
      <c r="M36" s="502"/>
      <c r="N36" s="502"/>
      <c r="O36" s="502"/>
      <c r="P36" s="547"/>
      <c r="Q36" s="547"/>
      <c r="R36" s="502"/>
    </row>
    <row r="37" spans="1:18">
      <c r="A37" s="502" t="s">
        <v>615</v>
      </c>
      <c r="B37" s="502" t="s">
        <v>621</v>
      </c>
      <c r="C37" s="502"/>
      <c r="D37" s="502"/>
      <c r="E37" s="501"/>
      <c r="F37" s="545"/>
      <c r="G37" s="546">
        <v>162500</v>
      </c>
      <c r="H37" s="546">
        <v>162500</v>
      </c>
      <c r="I37" s="502"/>
      <c r="J37" s="502"/>
      <c r="K37" s="547"/>
      <c r="L37" s="502"/>
      <c r="M37" s="502"/>
      <c r="N37" s="502"/>
      <c r="O37" s="502"/>
      <c r="P37" s="547"/>
      <c r="Q37" s="547"/>
      <c r="R37" s="502"/>
    </row>
    <row r="38" spans="1:18">
      <c r="A38" s="502" t="s">
        <v>615</v>
      </c>
      <c r="B38" s="502" t="s">
        <v>622</v>
      </c>
      <c r="C38" s="502"/>
      <c r="D38" s="502"/>
      <c r="E38" s="501"/>
      <c r="F38" s="545"/>
      <c r="G38" s="546">
        <v>162500</v>
      </c>
      <c r="H38" s="546">
        <v>162500</v>
      </c>
      <c r="I38" s="502"/>
      <c r="J38" s="502"/>
      <c r="K38" s="547"/>
      <c r="L38" s="502"/>
      <c r="M38" s="502"/>
      <c r="N38" s="502"/>
      <c r="O38" s="502"/>
      <c r="P38" s="547"/>
      <c r="Q38" s="547"/>
      <c r="R38" s="502"/>
    </row>
    <row r="39" spans="1:18">
      <c r="A39" s="502" t="s">
        <v>615</v>
      </c>
      <c r="B39" s="502" t="s">
        <v>623</v>
      </c>
      <c r="C39" s="502"/>
      <c r="D39" s="502"/>
      <c r="E39" s="501"/>
      <c r="F39" s="545"/>
      <c r="G39" s="546">
        <v>162500</v>
      </c>
      <c r="H39" s="546">
        <v>162500</v>
      </c>
      <c r="I39" s="502"/>
      <c r="J39" s="502"/>
      <c r="K39" s="547"/>
      <c r="L39" s="502"/>
      <c r="M39" s="502"/>
      <c r="N39" s="502"/>
      <c r="O39" s="502"/>
      <c r="P39" s="547"/>
      <c r="Q39" s="547"/>
      <c r="R39" s="502"/>
    </row>
    <row r="40" spans="1:18">
      <c r="A40" s="502" t="s">
        <v>615</v>
      </c>
      <c r="B40" s="502" t="s">
        <v>624</v>
      </c>
      <c r="C40" s="502"/>
      <c r="D40" s="502"/>
      <c r="E40" s="501"/>
      <c r="F40" s="545"/>
      <c r="G40" s="546">
        <v>162500</v>
      </c>
      <c r="H40" s="546">
        <v>162500</v>
      </c>
      <c r="I40" s="502"/>
      <c r="J40" s="502"/>
      <c r="K40" s="547"/>
      <c r="L40" s="502"/>
      <c r="M40" s="502"/>
      <c r="N40" s="502"/>
      <c r="O40" s="502"/>
      <c r="P40" s="547"/>
      <c r="Q40" s="547"/>
      <c r="R40" s="502"/>
    </row>
    <row r="41" spans="1:18">
      <c r="A41" s="502" t="s">
        <v>625</v>
      </c>
      <c r="B41" s="502" t="s">
        <v>626</v>
      </c>
      <c r="C41" s="502"/>
      <c r="D41" s="502"/>
      <c r="E41" s="501"/>
      <c r="F41" s="545"/>
      <c r="G41" s="502"/>
      <c r="H41" s="546">
        <v>91000</v>
      </c>
      <c r="I41" s="502"/>
      <c r="J41" s="502"/>
      <c r="K41" s="547"/>
      <c r="L41" s="502"/>
      <c r="M41" s="502"/>
      <c r="N41" s="502"/>
      <c r="O41" s="502"/>
      <c r="P41" s="547"/>
      <c r="Q41" s="547"/>
      <c r="R41" s="502"/>
    </row>
    <row r="42" spans="1:18">
      <c r="A42" s="502" t="s">
        <v>625</v>
      </c>
      <c r="B42" s="502" t="s">
        <v>627</v>
      </c>
      <c r="C42" s="502"/>
      <c r="D42" s="502"/>
      <c r="E42" s="501"/>
      <c r="F42" s="545"/>
      <c r="G42" s="502"/>
      <c r="H42" s="546">
        <v>124800</v>
      </c>
      <c r="I42" s="502"/>
      <c r="J42" s="502"/>
      <c r="K42" s="547"/>
      <c r="L42" s="502"/>
      <c r="M42" s="502"/>
      <c r="N42" s="502"/>
      <c r="O42" s="502"/>
      <c r="P42" s="547"/>
      <c r="Q42" s="547"/>
      <c r="R42" s="502"/>
    </row>
    <row r="43" spans="1:18">
      <c r="A43" s="502" t="s">
        <v>625</v>
      </c>
      <c r="B43" s="502" t="s">
        <v>628</v>
      </c>
      <c r="C43" s="502"/>
      <c r="D43" s="502"/>
      <c r="E43" s="501"/>
      <c r="F43" s="545"/>
      <c r="G43" s="548"/>
      <c r="H43" s="546">
        <v>156000</v>
      </c>
      <c r="I43" s="502"/>
      <c r="J43" s="502"/>
      <c r="K43" s="547"/>
      <c r="L43" s="502"/>
      <c r="M43" s="502"/>
      <c r="N43" s="502"/>
      <c r="O43" s="502"/>
      <c r="P43" s="547"/>
      <c r="Q43" s="547"/>
      <c r="R43" s="502"/>
    </row>
    <row r="44" spans="1:18">
      <c r="A44" s="502" t="s">
        <v>625</v>
      </c>
      <c r="B44" s="549" t="s">
        <v>629</v>
      </c>
      <c r="C44" s="549"/>
      <c r="D44" s="502"/>
      <c r="E44" s="501"/>
      <c r="F44" s="545"/>
      <c r="G44" s="502"/>
      <c r="H44" s="546">
        <v>156000</v>
      </c>
      <c r="I44" s="502"/>
      <c r="J44" s="502"/>
      <c r="K44" s="547"/>
      <c r="L44" s="502"/>
      <c r="M44" s="502"/>
      <c r="N44" s="502"/>
      <c r="O44" s="502"/>
      <c r="P44" s="547"/>
      <c r="Q44" s="547"/>
      <c r="R44" s="502"/>
    </row>
    <row r="45" spans="1:18">
      <c r="A45" s="502" t="s">
        <v>615</v>
      </c>
      <c r="B45" s="502" t="s">
        <v>630</v>
      </c>
      <c r="C45" s="502"/>
      <c r="D45" s="502"/>
      <c r="E45" s="501"/>
      <c r="F45" s="545"/>
      <c r="G45" s="502"/>
      <c r="H45" s="546">
        <v>170625</v>
      </c>
      <c r="I45" s="502"/>
      <c r="J45" s="502"/>
      <c r="K45" s="547"/>
      <c r="L45" s="502"/>
      <c r="M45" s="502"/>
      <c r="N45" s="502"/>
      <c r="O45" s="502"/>
      <c r="P45" s="547"/>
      <c r="Q45" s="547"/>
      <c r="R45" s="502"/>
    </row>
  </sheetData>
  <mergeCells count="9">
    <mergeCell ref="A20:B20"/>
    <mergeCell ref="A21:B21"/>
    <mergeCell ref="A22:B22"/>
    <mergeCell ref="A2:B2"/>
    <mergeCell ref="A3:B3"/>
    <mergeCell ref="A7:B7"/>
    <mergeCell ref="A9:B9"/>
    <mergeCell ref="A12:B12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Presupuesto</vt:lpstr>
      <vt:lpstr>caja efctivo </vt:lpstr>
      <vt:lpstr>Plantilla de pagos</vt:lpstr>
      <vt:lpstr>Editorial</vt:lpstr>
      <vt:lpstr>Horas docente</vt:lpstr>
      <vt:lpstr>hoja de deudores y mails alumno</vt:lpstr>
      <vt:lpstr>excel datos alumnos</vt:lpstr>
      <vt:lpstr>ventas</vt:lpstr>
      <vt:lpstr>precio de lista</vt:lpstr>
      <vt:lpstr>liquidacion formacion superior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Cataldi</dc:creator>
  <cp:lastModifiedBy>Nicolás Cataldi</cp:lastModifiedBy>
  <dcterms:created xsi:type="dcterms:W3CDTF">2026-03-05T18:25:02Z</dcterms:created>
  <dcterms:modified xsi:type="dcterms:W3CDTF">2026-03-25T14:20:59Z</dcterms:modified>
</cp:coreProperties>
</file>